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7935"/>
  </bookViews>
  <sheets>
    <sheet name="Parameters" sheetId="1" r:id="rId1"/>
    <sheet name="Data" sheetId="2" r:id="rId2"/>
  </sheets>
  <definedNames>
    <definedName name="avReturn">Parameters!#REF!</definedName>
    <definedName name="endDate">Parameters!$B$7</definedName>
    <definedName name="ExternalData_1" localSheetId="1">Data!$A$1:$A$356</definedName>
    <definedName name="ExternalData_10" localSheetId="1">Data!$A$1:$A$356</definedName>
    <definedName name="ExternalData_11" localSheetId="1">Data!$A$1:$A$356</definedName>
    <definedName name="ExternalData_12" localSheetId="1">Data!$A$1:$A$356</definedName>
    <definedName name="ExternalData_13" localSheetId="1">Data!$A$1:$A$356</definedName>
    <definedName name="ExternalData_14" localSheetId="1">Data!$A$1:$A$356</definedName>
    <definedName name="ExternalData_15" localSheetId="1">Data!$A$1:$A$356</definedName>
    <definedName name="ExternalData_16" localSheetId="1">Data!$A$1:$A$608</definedName>
    <definedName name="ExternalData_17" localSheetId="1">Data!$A$1:$A$608</definedName>
    <definedName name="ExternalData_18" localSheetId="1">Data!$A$1:$A$608</definedName>
    <definedName name="ExternalData_19" localSheetId="1">Data!$A$1:$A$104</definedName>
    <definedName name="ExternalData_2" localSheetId="1">Data!$A$1:$A$356</definedName>
    <definedName name="ExternalData_20" localSheetId="1">Data!$A$1:$A$104</definedName>
    <definedName name="ExternalData_21" localSheetId="1">Data!$A$1:$A$1112</definedName>
    <definedName name="ExternalData_22" localSheetId="1">Data!$A$1:$A$608</definedName>
    <definedName name="ExternalData_23" localSheetId="1">Data!$A$1:$A$608</definedName>
    <definedName name="ExternalData_24" localSheetId="1">Data!$A$1:$A$608</definedName>
    <definedName name="ExternalData_25" localSheetId="1">Data!$A$1:$A$608</definedName>
    <definedName name="ExternalData_26" localSheetId="1">Data!$A$1:$A$608</definedName>
    <definedName name="ExternalData_27" localSheetId="1">Data!$A$1:$A$608</definedName>
    <definedName name="ExternalData_28" localSheetId="1">Data!$A$1:$A$1112</definedName>
    <definedName name="ExternalData_29" localSheetId="1">Data!$A$1:$A$1112</definedName>
    <definedName name="ExternalData_3" localSheetId="1">Data!$A$1:$A$356</definedName>
    <definedName name="ExternalData_30" localSheetId="1">Data!$A$1:$A$1112</definedName>
    <definedName name="ExternalData_31" localSheetId="1">Data!$A$1:$A$1112</definedName>
    <definedName name="ExternalData_32" localSheetId="1">Data!$A$1:$A$104</definedName>
    <definedName name="ExternalData_33" localSheetId="1">Data!$A$1:$A$106</definedName>
    <definedName name="ExternalData_34" localSheetId="1">Data!$A$1:$A$24</definedName>
    <definedName name="ExternalData_35" localSheetId="1">Data!$A$1:$A$30</definedName>
    <definedName name="ExternalData_36" localSheetId="1">Data!$A$1:$A$30</definedName>
    <definedName name="ExternalData_37" localSheetId="1">Data!$A$1:$A$30</definedName>
    <definedName name="ExternalData_38" localSheetId="1">Data!$A$1:$A$31</definedName>
    <definedName name="ExternalData_39" localSheetId="1">Data!$A$1:$A$31</definedName>
    <definedName name="ExternalData_4" localSheetId="1">Data!$A$1:$A$356</definedName>
    <definedName name="ExternalData_40" localSheetId="1">Data!$A$1:$A$31</definedName>
    <definedName name="ExternalData_41" localSheetId="1">Data!$A$1:$A$31</definedName>
    <definedName name="ExternalData_42" localSheetId="1">Data!$A$1:$A$31</definedName>
    <definedName name="ExternalData_43" localSheetId="1">Data!$A$1:$A$31</definedName>
    <definedName name="ExternalData_44" localSheetId="1">Data!$A$1:$A$31</definedName>
    <definedName name="ExternalData_45" localSheetId="1">Data!$A$1:$A$31</definedName>
    <definedName name="ExternalData_46" localSheetId="1">Data!$A$1:$A$31</definedName>
    <definedName name="ExternalData_47" localSheetId="1">Data!$A$1:$A$31</definedName>
    <definedName name="ExternalData_48" localSheetId="1">Data!$A$1:$A$31</definedName>
    <definedName name="ExternalData_49" localSheetId="1">Data!$A$1:$A$31</definedName>
    <definedName name="ExternalData_50" localSheetId="1">Data!$A$1:$A$31</definedName>
    <definedName name="ExternalData_51" localSheetId="1">Data!$A$1:$A$31</definedName>
    <definedName name="ExternalData_52" localSheetId="1">Data!$A$1:$A$31</definedName>
    <definedName name="ExternalData_53" localSheetId="1">Data!$A$1:$A$31</definedName>
    <definedName name="ExternalData_54" localSheetId="1">Data!$A$1:$A$31</definedName>
    <definedName name="ExternalData_55" localSheetId="1">Data!$A$1:$A$31</definedName>
    <definedName name="ExternalData_56" localSheetId="1">Data!$A$1:$A$31</definedName>
    <definedName name="ExternalData_57" localSheetId="1">Data!$A$1:$A$31</definedName>
    <definedName name="ExternalData_58" localSheetId="1">Data!$A$1:$A$31</definedName>
    <definedName name="ExternalData_59" localSheetId="1">Data!$A$1:$A$31</definedName>
    <definedName name="ExternalData_6" localSheetId="1">Data!$A$1:$A$356</definedName>
    <definedName name="ExternalData_61" localSheetId="1">Data!$A$1:$A$31</definedName>
    <definedName name="ExternalData_62" localSheetId="1">Data!$A$1:$A$31</definedName>
    <definedName name="ExternalData_63" localSheetId="1">Data!$A$1:$A$172</definedName>
    <definedName name="ExternalData_64" localSheetId="1">Data!$A$1:$A$160</definedName>
    <definedName name="ExternalData_65" localSheetId="1">Data!$A$1:$A$160</definedName>
    <definedName name="ExternalData_66" localSheetId="1">Data!$A$1:$A$76</definedName>
    <definedName name="ExternalData_67" localSheetId="1">Data!$A$1:$A$76</definedName>
    <definedName name="ExternalData_68" localSheetId="1">Data!$A$1:$A$76</definedName>
    <definedName name="ExternalData_69" localSheetId="1">Data!$A$1:$A$76</definedName>
    <definedName name="ExternalData_70" localSheetId="1">Data!$A$1:$A$76</definedName>
    <definedName name="ExternalData_71" localSheetId="1">Data!$A$1:$A$76</definedName>
    <definedName name="ExternalData_72" localSheetId="1">Data!$A$1:$A$76</definedName>
    <definedName name="ExternalData_73" localSheetId="1">Data!$A$1:$A$76</definedName>
    <definedName name="ExternalData_74" localSheetId="1">Data!$A$1:$A$76</definedName>
    <definedName name="ExternalData_75" localSheetId="1">Data!$A$1:$A$328</definedName>
    <definedName name="ExternalData_76" localSheetId="1">Data!$A$1:$A$76</definedName>
    <definedName name="ExternalData_77" localSheetId="1">Data!$A$1:$A$23</definedName>
    <definedName name="ExternalData_78" localSheetId="1">Data!$A$1:$A$33</definedName>
    <definedName name="ExternalData_79" localSheetId="1">Data!$A$1:$A$65</definedName>
    <definedName name="ExternalData_8" localSheetId="1">Data!$A$1:$A$356</definedName>
    <definedName name="ExternalData_80" localSheetId="1">Data!$A$1:$A$78</definedName>
    <definedName name="ExternalData_81" localSheetId="1">Data!$A$1:$A$78</definedName>
    <definedName name="ExternalData_82" localSheetId="1">Data!$A$1:$A$78</definedName>
    <definedName name="ExternalData_83" localSheetId="1">Data!$A$1:$A$109</definedName>
    <definedName name="ExternalData_84" localSheetId="1">Data!$A$1:$A$109</definedName>
    <definedName name="ExternalData_85" localSheetId="1">Data!$A$1:$A$109</definedName>
    <definedName name="ExternalData_86" localSheetId="1">Data!$A$1:$A$109</definedName>
    <definedName name="lookbackPeriod">Parameters!$B$8</definedName>
    <definedName name="smoothingPeriod">Parameters!$B$9</definedName>
    <definedName name="startDate">Parameters!$B$6</definedName>
    <definedName name="stDev">Parameters!#REF!</definedName>
    <definedName name="ticker">Parameters!$B$5</definedName>
    <definedName name="vrnc">Parameters!#REF!</definedName>
  </definedNames>
  <calcPr calcId="145621" calcMode="manual"/>
</workbook>
</file>

<file path=xl/calcChain.xml><?xml version="1.0" encoding="utf-8"?>
<calcChain xmlns="http://schemas.openxmlformats.org/spreadsheetml/2006/main">
  <c r="I15" i="2" l="1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J92" i="2" s="1"/>
  <c r="I93" i="2"/>
  <c r="J93" i="2" s="1"/>
  <c r="I94" i="2"/>
  <c r="J94" i="2" s="1"/>
  <c r="I95" i="2"/>
  <c r="J95" i="2" s="1"/>
  <c r="I96" i="2"/>
  <c r="J96" i="2" s="1"/>
  <c r="I97" i="2"/>
  <c r="J97" i="2" s="1"/>
  <c r="I98" i="2"/>
  <c r="J98" i="2" s="1"/>
  <c r="I99" i="2"/>
  <c r="J99" i="2" s="1"/>
  <c r="I100" i="2"/>
  <c r="J100" i="2" s="1"/>
  <c r="I101" i="2"/>
  <c r="J101" i="2" s="1"/>
  <c r="I102" i="2"/>
  <c r="J102" i="2" s="1"/>
  <c r="K104" i="2" s="1"/>
  <c r="I103" i="2"/>
  <c r="J103" i="2" s="1"/>
  <c r="I104" i="2"/>
  <c r="J104" i="2" s="1"/>
  <c r="I105" i="2"/>
  <c r="J105" i="2" s="1"/>
  <c r="I106" i="2"/>
  <c r="J106" i="2" s="1"/>
  <c r="K108" i="2" s="1"/>
  <c r="I107" i="2"/>
  <c r="J107" i="2" s="1"/>
  <c r="I108" i="2"/>
  <c r="J108" i="2" s="1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K106" i="2" l="1"/>
  <c r="K102" i="2"/>
  <c r="K100" i="2"/>
  <c r="K98" i="2"/>
  <c r="K96" i="2"/>
  <c r="K94" i="2"/>
  <c r="K107" i="2"/>
  <c r="K105" i="2"/>
  <c r="K103" i="2"/>
  <c r="K101" i="2"/>
  <c r="K99" i="2"/>
  <c r="K97" i="2"/>
  <c r="K95" i="2"/>
  <c r="J91" i="2"/>
  <c r="K93" i="2" s="1"/>
  <c r="J89" i="2"/>
  <c r="J87" i="2"/>
  <c r="J85" i="2"/>
  <c r="J83" i="2"/>
  <c r="J81" i="2"/>
  <c r="J79" i="2"/>
  <c r="J77" i="2"/>
  <c r="J75" i="2"/>
  <c r="J73" i="2"/>
  <c r="J71" i="2"/>
  <c r="J69" i="2"/>
  <c r="J67" i="2"/>
  <c r="J65" i="2"/>
  <c r="J63" i="2"/>
  <c r="J61" i="2"/>
  <c r="J59" i="2"/>
  <c r="J57" i="2"/>
  <c r="J55" i="2"/>
  <c r="J53" i="2"/>
  <c r="J51" i="2"/>
  <c r="J49" i="2"/>
  <c r="J47" i="2"/>
  <c r="J45" i="2"/>
  <c r="J43" i="2"/>
  <c r="J41" i="2"/>
  <c r="J39" i="2"/>
  <c r="J37" i="2"/>
  <c r="J35" i="2"/>
  <c r="J33" i="2"/>
  <c r="J31" i="2"/>
  <c r="J29" i="2"/>
  <c r="J27" i="2"/>
  <c r="J25" i="2"/>
  <c r="J23" i="2"/>
  <c r="J21" i="2"/>
  <c r="J19" i="2"/>
  <c r="J17" i="2"/>
  <c r="J15" i="2"/>
  <c r="J90" i="2"/>
  <c r="K92" i="2" s="1"/>
  <c r="J88" i="2"/>
  <c r="K90" i="2" s="1"/>
  <c r="J86" i="2"/>
  <c r="J84" i="2"/>
  <c r="K86" i="2" s="1"/>
  <c r="J82" i="2"/>
  <c r="J80" i="2"/>
  <c r="K82" i="2" s="1"/>
  <c r="J78" i="2"/>
  <c r="J76" i="2"/>
  <c r="K78" i="2" s="1"/>
  <c r="J74" i="2"/>
  <c r="J72" i="2"/>
  <c r="K74" i="2" s="1"/>
  <c r="J70" i="2"/>
  <c r="J68" i="2"/>
  <c r="K70" i="2" s="1"/>
  <c r="J66" i="2"/>
  <c r="J64" i="2"/>
  <c r="K66" i="2" s="1"/>
  <c r="J62" i="2"/>
  <c r="J60" i="2"/>
  <c r="K62" i="2" s="1"/>
  <c r="J58" i="2"/>
  <c r="J56" i="2"/>
  <c r="K58" i="2" s="1"/>
  <c r="J54" i="2"/>
  <c r="J52" i="2"/>
  <c r="K54" i="2" s="1"/>
  <c r="J50" i="2"/>
  <c r="J48" i="2"/>
  <c r="K50" i="2" s="1"/>
  <c r="J46" i="2"/>
  <c r="J44" i="2"/>
  <c r="K46" i="2" s="1"/>
  <c r="J42" i="2"/>
  <c r="J40" i="2"/>
  <c r="K42" i="2" s="1"/>
  <c r="J38" i="2"/>
  <c r="J36" i="2"/>
  <c r="K38" i="2" s="1"/>
  <c r="J34" i="2"/>
  <c r="J32" i="2"/>
  <c r="K34" i="2" s="1"/>
  <c r="J30" i="2"/>
  <c r="J28" i="2"/>
  <c r="K30" i="2" s="1"/>
  <c r="J26" i="2"/>
  <c r="J24" i="2"/>
  <c r="K26" i="2" s="1"/>
  <c r="J22" i="2"/>
  <c r="J20" i="2"/>
  <c r="K22" i="2" s="1"/>
  <c r="J18" i="2"/>
  <c r="J16" i="2"/>
  <c r="K18" i="2" s="1"/>
  <c r="K17" i="2" l="1"/>
  <c r="K21" i="2"/>
  <c r="K25" i="2"/>
  <c r="K29" i="2"/>
  <c r="K33" i="2"/>
  <c r="K37" i="2"/>
  <c r="K41" i="2"/>
  <c r="K45" i="2"/>
  <c r="K49" i="2"/>
  <c r="K53" i="2"/>
  <c r="K57" i="2"/>
  <c r="K61" i="2"/>
  <c r="K65" i="2"/>
  <c r="K69" i="2"/>
  <c r="K73" i="2"/>
  <c r="K77" i="2"/>
  <c r="K81" i="2"/>
  <c r="K85" i="2"/>
  <c r="K89" i="2"/>
  <c r="K20" i="2"/>
  <c r="K24" i="2"/>
  <c r="K28" i="2"/>
  <c r="K32" i="2"/>
  <c r="K36" i="2"/>
  <c r="K40" i="2"/>
  <c r="K44" i="2"/>
  <c r="K48" i="2"/>
  <c r="K52" i="2"/>
  <c r="K56" i="2"/>
  <c r="K60" i="2"/>
  <c r="K64" i="2"/>
  <c r="K68" i="2"/>
  <c r="K72" i="2"/>
  <c r="K76" i="2"/>
  <c r="K80" i="2"/>
  <c r="K84" i="2"/>
  <c r="K88" i="2"/>
  <c r="K19" i="2"/>
  <c r="K23" i="2"/>
  <c r="K27" i="2"/>
  <c r="K31" i="2"/>
  <c r="K35" i="2"/>
  <c r="K39" i="2"/>
  <c r="K43" i="2"/>
  <c r="K47" i="2"/>
  <c r="K51" i="2"/>
  <c r="K55" i="2"/>
  <c r="K59" i="2"/>
  <c r="K63" i="2"/>
  <c r="K67" i="2"/>
  <c r="K71" i="2"/>
  <c r="K75" i="2"/>
  <c r="K79" i="2"/>
  <c r="K83" i="2"/>
  <c r="K87" i="2"/>
  <c r="K91" i="2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2" name="Connection1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3" name="Connection10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4" name="Connection11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5" name="Connection12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6" name="Connection13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7" name="Connection14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8" name="Connection15" type="4" refreshedVersion="4" background="1" saveData="1">
    <webPr xl2000="1" url="http://ichart.yahoo.com/table.csv?s=KO&amp;a=0&amp;b=1&amp;c=2009&amp;d=5&amp;e=1&amp;f=2011&amp;g=&amp;q=q&amp;y=0&amp;z=KO&amp;x=.csv" htmlFormat="all"/>
  </connection>
  <connection id="9" name="Connection16" type="4" refreshedVersion="4" background="1" saveData="1">
    <webPr xl2000="1" url="http://ichart.yahoo.com/table.csv?s=KO&amp;a=0&amp;b=1&amp;c=2009&amp;d=5&amp;e=1&amp;f=2011&amp;g=&amp;q=q&amp;y=0&amp;z=KO&amp;x=.csv" htmlFormat="all"/>
  </connection>
  <connection id="10" name="Connection17" type="4" refreshedVersion="4" background="1" saveData="1">
    <webPr xl2000="1" url="http://ichart.yahoo.com/table.csv?s=KO&amp;a=0&amp;b=1&amp;c=2009&amp;d=5&amp;e=1&amp;f=2011&amp;g=&amp;q=q&amp;y=0&amp;z=KO&amp;x=.csv" htmlFormat="all"/>
  </connection>
  <connection id="11" name="Connection18" type="4" refreshedVersion="4" background="1" saveData="1">
    <webPr xl2000="1" url="http://ichart.yahoo.com/table.csv?s=KO&amp;a=0&amp;b=1&amp;c=2011&amp;d=5&amp;e=1&amp;f=2011&amp;g=&amp;q=q&amp;y=0&amp;z=KO&amp;x=.csv" htmlFormat="all"/>
  </connection>
  <connection id="12" name="Connection19" type="4" refreshedVersion="4" background="1" saveData="1">
    <webPr xl2000="1" url="http://ichart.yahoo.com/table.csv?s=KO&amp;a=0&amp;b=1&amp;c=2011&amp;d=5&amp;e=1&amp;f=2011&amp;g=&amp;q=q&amp;y=0&amp;z=KO&amp;x=.csv" htmlFormat="all"/>
  </connection>
  <connection id="13" name="Connection2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14" name="Connection20" type="4" refreshedVersion="4" background="1" saveData="1">
    <webPr xl2000="1" url="http://ichart.yahoo.com/table.csv?s=KO&amp;a=0&amp;b=1&amp;c=2007&amp;d=5&amp;e=1&amp;f=2011&amp;g=&amp;q=q&amp;y=0&amp;z=KO&amp;x=.csv" htmlFormat="all"/>
  </connection>
  <connection id="15" name="Connection21" type="4" refreshedVersion="4" background="1" saveData="1">
    <webPr xl2000="1" url="http://ichart.yahoo.com/table.csv?s=KO&amp;a=0&amp;b=1&amp;c=2009&amp;d=5&amp;e=1&amp;f=2011&amp;g=&amp;q=q&amp;y=0&amp;z=KO&amp;x=.csv" htmlFormat="all"/>
  </connection>
  <connection id="16" name="Connection22" type="4" refreshedVersion="4" background="1" saveData="1">
    <webPr xl2000="1" url="http://ichart.yahoo.com/table.csv?s=KO&amp;a=0&amp;b=1&amp;c=2009&amp;d=5&amp;e=1&amp;f=2011&amp;g=&amp;q=q&amp;y=0&amp;z=KO&amp;x=.csv" htmlFormat="all"/>
  </connection>
  <connection id="17" name="Connection23" type="4" refreshedVersion="4" background="1" saveData="1">
    <webPr xl2000="1" url="http://ichart.yahoo.com/table.csv?s=KO&amp;a=0&amp;b=1&amp;c=2009&amp;d=5&amp;e=1&amp;f=2011&amp;g=&amp;q=q&amp;y=0&amp;z=KO&amp;x=.csv" htmlFormat="all"/>
  </connection>
  <connection id="18" name="Connection24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19" name="Connection25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20" name="Connection26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21" name="Connection27" type="4" refreshedVersion="4" background="1" saveData="1">
    <webPr xl2000="1" url="http://ichart.yahoo.com/table.csv?s=WMT&amp;a=0&amp;b=1&amp;c=2007&amp;d=5&amp;e=1&amp;f=2011&amp;g=&amp;q=q&amp;y=0&amp;z=WMT&amp;x=.csv" htmlFormat="all"/>
  </connection>
  <connection id="22" name="Connection28" type="4" refreshedVersion="4" background="1" saveData="1">
    <webPr xl2000="1" url="http://ichart.yahoo.com/table.csv?s=WMT&amp;a=0&amp;b=1&amp;c=2007&amp;d=5&amp;e=1&amp;f=2011&amp;g=&amp;q=q&amp;y=0&amp;z=WMT&amp;x=.csv" htmlFormat="all"/>
  </connection>
  <connection id="23" name="Connection29" type="4" refreshedVersion="4" background="1" saveData="1">
    <webPr xl2000="1" url="http://ichart.yahoo.com/table.csv?s=BP&amp;a=0&amp;b=1&amp;c=2007&amp;d=5&amp;e=1&amp;f=2011&amp;g=&amp;q=q&amp;y=0&amp;z=BP&amp;x=.csv" htmlFormat="all"/>
  </connection>
  <connection id="24" name="Connection3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25" name="Connection30" type="4" refreshedVersion="4" background="1" saveData="1">
    <webPr xl2000="1" url="http://ichart.yahoo.com/table.csv?s=BP&amp;a=0&amp;b=1&amp;c=2007&amp;d=5&amp;e=1&amp;f=2011&amp;g=&amp;q=q&amp;y=0&amp;z=BP&amp;x=.csv" htmlFormat="all"/>
  </connection>
  <connection id="26" name="Connection31" type="4" refreshedVersion="4" background="1" saveData="1">
    <webPr xl2000="1" url="http://ichart.yahoo.com/table.csv?s=BP&amp;a=0&amp;b=1&amp;c=2011&amp;d=5&amp;e=1&amp;f=2011&amp;g=&amp;q=q&amp;y=0&amp;z=BP&amp;x=.csv" htmlFormat="all"/>
  </connection>
  <connection id="27" name="Connection32" type="4" refreshedVersion="4" background="1" saveData="1">
    <webPr xl2000="1" url="http://ichart.yahoo.com/table.csv?s=BP&amp;a=0&amp;b=1&amp;c=2011&amp;d=5&amp;e=1&amp;f=2011&amp;g=&amp;q=q&amp;y=0&amp;z=BP&amp;x=.csv" htmlFormat="all"/>
  </connection>
  <connection id="28" name="Connection33" type="4" refreshedVersion="4" background="1" saveData="1">
    <webPr xl2000="1" url="http://ichart.yahoo.com/table.csv?s=BP&amp;a=4&amp;b=1&amp;c=2013&amp;d=5&amp;e=1&amp;f=2013&amp;g=&amp;q=q&amp;y=0&amp;z=BP&amp;x=.csv" htmlFormat="all"/>
  </connection>
  <connection id="29" name="Connection34" type="4" refreshedVersion="4" background="1" saveData="1">
    <webPr xl2000="1" url="http://ichart.yahoo.com/table.csv?s=BP&amp;a=4&amp;b=1&amp;c=2013&amp;d=5&amp;e=10&amp;f=2013&amp;g=&amp;q=q&amp;y=0&amp;z=BP&amp;x=.csv" htmlFormat="all"/>
  </connection>
  <connection id="30" name="Connection35" type="4" refreshedVersion="4" background="1" saveData="1">
    <webPr xl2000="1" url="http://ichart.yahoo.com/table.csv?s=BP&amp;a=4&amp;b=1&amp;c=2013&amp;d=5&amp;e=10&amp;f=2013&amp;g=&amp;q=q&amp;y=0&amp;z=BP&amp;x=.csv" htmlFormat="all"/>
  </connection>
  <connection id="31" name="Connection36" type="4" refreshedVersion="4" background="1" saveData="1">
    <webPr xl2000="1" url="http://ichart.yahoo.com/table.csv?s=BP&amp;a=4&amp;b=1&amp;c=2013&amp;d=5&amp;e=10&amp;f=2013&amp;g=&amp;q=q&amp;y=0&amp;z=BP&amp;x=.csv" htmlFormat="all"/>
  </connection>
  <connection id="32" name="Connection37" type="4" refreshedVersion="4" background="1" saveData="1">
    <webPr xl2000="1" url="http://ichart.yahoo.com/table.csv?s=BP&amp;a=4&amp;b=1&amp;c=2013&amp;d=5&amp;e=11&amp;f=2013&amp;g=&amp;q=q&amp;y=0&amp;z=BP&amp;x=.csv" htmlFormat="all"/>
  </connection>
  <connection id="33" name="Connection38" type="4" refreshedVersion="4" background="1" saveData="1">
    <webPr xl2000="1" url="http://ichart.yahoo.com/table.csv?s=BP&amp;a=4&amp;b=1&amp;c=2013&amp;d=5&amp;e=11&amp;f=2013&amp;g=&amp;q=q&amp;y=0&amp;z=BP&amp;x=.csv" htmlFormat="all"/>
  </connection>
  <connection id="34" name="Connection39" type="4" refreshedVersion="4" background="1" saveData="1">
    <webPr xl2000="1" url="http://ichart.yahoo.com/table.csv?s=BP&amp;a=4&amp;b=1&amp;c=2013&amp;d=5&amp;e=11&amp;f=2013&amp;g=&amp;q=q&amp;y=0&amp;z=BP&amp;x=.csv" htmlFormat="all"/>
  </connection>
  <connection id="35" name="Connection4" type="4" refreshedVersion="0" background="1">
    <webPr url="http://ichart.yahoo.com/table.csv?s=&amp;a=11&amp;b=30&amp;c=1899&amp;d=11&amp;e=30&amp;f=1899&amp;g=&amp;q=q&amp;y=0&amp;z=&amp;x=.csv" htmlTables="1" htmlFormat="all"/>
  </connection>
  <connection id="36" name="Connection40" type="4" refreshedVersion="4" background="1" saveData="1">
    <webPr xl2000="1" url="http://ichart.yahoo.com/table.csv?s=BP&amp;a=4&amp;b=1&amp;c=2013&amp;d=5&amp;e=11&amp;f=2013&amp;g=&amp;q=q&amp;y=0&amp;z=BP&amp;x=.csv" htmlFormat="all"/>
  </connection>
  <connection id="37" name="Connection41" type="4" refreshedVersion="4" background="1" saveData="1">
    <webPr xl2000="1" url="http://ichart.yahoo.com/table.csv?s=BP&amp;a=4&amp;b=1&amp;c=2013&amp;d=5&amp;e=11&amp;f=2013&amp;g=&amp;q=q&amp;y=0&amp;z=BP&amp;x=.csv" htmlFormat="all"/>
  </connection>
  <connection id="38" name="Connection42" type="4" refreshedVersion="4" background="1" saveData="1">
    <webPr xl2000="1" url="http://ichart.yahoo.com/table.csv?s=BP&amp;a=4&amp;b=1&amp;c=2013&amp;d=5&amp;e=11&amp;f=2013&amp;g=&amp;q=q&amp;y=0&amp;z=BP&amp;x=.csv" htmlFormat="all"/>
  </connection>
  <connection id="39" name="Connection43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0" name="Connection44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1" name="Connection45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2" name="Connection46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3" name="Connection47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4" name="Connection48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5" name="Connection49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6" name="Connection5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47" name="Connection50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8" name="Connection51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9" name="Connection52" type="4" refreshedVersion="4" background="1" saveData="1">
    <webPr xl2000="1" url="http://ichart.yahoo.com/table.csv?s=BP&amp;a=4&amp;b=1&amp;c=2013&amp;d=5&amp;e=11&amp;f=2013&amp;g=&amp;q=q&amp;y=0&amp;z=BP&amp;x=.csv" htmlFormat="all"/>
  </connection>
  <connection id="50" name="Connection53" type="4" refreshedVersion="4" background="1" saveData="1">
    <webPr xl2000="1" url="http://ichart.yahoo.com/table.csv?s=BP&amp;a=4&amp;b=1&amp;c=2013&amp;d=5&amp;e=11&amp;f=2013&amp;g=&amp;q=q&amp;y=0&amp;z=BP&amp;x=.csv" htmlFormat="all"/>
  </connection>
  <connection id="51" name="Connection54" type="4" refreshedVersion="4" background="1" saveData="1">
    <webPr xl2000="1" url="http://ichart.yahoo.com/table.csv?s=BP&amp;a=4&amp;b=1&amp;c=2013&amp;d=5&amp;e=11&amp;f=2013&amp;g=&amp;q=q&amp;y=0&amp;z=BP&amp;x=.csv" htmlFormat="all"/>
  </connection>
  <connection id="52" name="Connection55" type="4" refreshedVersion="4" background="1" saveData="1">
    <webPr xl2000="1" url="http://ichart.yahoo.com/table.csv?s=BP&amp;a=4&amp;b=1&amp;c=2013&amp;d=5&amp;e=11&amp;f=2013&amp;g=&amp;q=q&amp;y=0&amp;z=BP&amp;x=.csv" htmlFormat="all"/>
  </connection>
  <connection id="53" name="Connection56" type="4" refreshedVersion="4" background="1" saveData="1">
    <webPr xl2000="1" url="http://ichart.yahoo.com/table.csv?s=BP&amp;a=4&amp;b=1&amp;c=2013&amp;d=5&amp;e=11&amp;f=2013&amp;g=&amp;q=q&amp;y=0&amp;z=BP&amp;x=.csv" htmlFormat="all"/>
  </connection>
  <connection id="54" name="Connection57" type="4" refreshedVersion="4" background="1" saveData="1">
    <webPr xl2000="1" url="http://ichart.yahoo.com/table.csv?s=BP&amp;a=4&amp;b=1&amp;c=2013&amp;d=5&amp;e=11&amp;f=2013&amp;g=&amp;q=q&amp;y=0&amp;z=BP&amp;x=.csv" htmlFormat="all"/>
  </connection>
  <connection id="55" name="Connection58" type="4" refreshedVersion="4" background="1" saveData="1">
    <webPr xl2000="1" url="http://ichart.yahoo.com/table.csv?s=BP&amp;a=4&amp;b=1&amp;c=2013&amp;d=5&amp;e=11&amp;f=2013&amp;g=&amp;q=q&amp;y=0&amp;z=BP&amp;x=.csv" htmlFormat="all"/>
  </connection>
  <connection id="56" name="Connection59" type="4" refreshedVersion="0" background="1">
    <webPr url="http://ichart.yahoo.com/table.csv?s=BP&amp;a=4&amp;b=1&amp;c=2013&amp;d=5&amp;e=11&amp;f=2013&amp;g=&amp;q=q&amp;y=0&amp;z=BP&amp;x=.csv" htmlTables="1" htmlFormat="all"/>
  </connection>
  <connection id="57" name="Connection6" type="4" refreshedVersion="0" background="1">
    <webPr url="http://ichart.yahoo.com/table.csv?s=54.99&amp;a=1&amp;b=23&amp;c=1900&amp;d=1&amp;e=23&amp;f=1900&amp;g=&amp;q=q&amp;y=0&amp;z=54.99&amp;x=.csv" htmlTables="1" htmlFormat="all"/>
  </connection>
  <connection id="58" name="Connection60" type="4" refreshedVersion="4" background="1" saveData="1">
    <webPr xl2000="1" url="http://ichart.finance.yahoo.com/table.csv?s=BP&amp;a=4&amp;b=1&amp;c=2013&amp;d=5&amp;e=11&amp;f=2013&amp;g=&amp;q=q&amp;y=0&amp;z=BP&amp;x=.csv" htmlFormat="all"/>
  </connection>
  <connection id="59" name="Connection61" type="4" refreshedVersion="4" background="1" saveData="1">
    <webPr xl2000="1" url="http://ichart.finance.yahoo.com/table.csv?s=XOM&amp;a=4&amp;b=1&amp;c=2013&amp;d=5&amp;e=11&amp;f=2013&amp;g=&amp;q=q&amp;y=0&amp;z=XOM&amp;x=.csv" htmlFormat="all"/>
  </connection>
  <connection id="60" name="Connection62" type="4" refreshedVersion="4" background="1" saveData="1">
    <webPr xl2000="1" url="http://ichart.finance.yahoo.com/table.csv?s=XOM&amp;a=4&amp;b=1&amp;c=2013&amp;d=0&amp;e=1&amp;f=2014&amp;g=&amp;q=q&amp;y=0&amp;z=XOM&amp;x=.csv" htmlFormat="all"/>
  </connection>
  <connection id="61" name="Connection63" type="4" refreshedVersion="4" background="1" saveData="1">
    <webPr xl2000="1" url="http://ichart.finance.yahoo.com/table.csv?s=XOM&amp;a=4&amp;b=1&amp;c=2013&amp;d=11&amp;e=12&amp;f=2013&amp;g=&amp;q=q&amp;y=0&amp;z=XOM&amp;x=.csv" htmlFormat="all"/>
  </connection>
  <connection id="62" name="Connection64" type="4" refreshedVersion="4" background="1" saveData="1">
    <webPr xl2000="1" url="http://ichart.finance.yahoo.com/table.csv?s=XOM&amp;a=4&amp;b=1&amp;c=2013&amp;d=11&amp;e=12&amp;f=2013&amp;g=&amp;q=q&amp;y=0&amp;z=XOM&amp;x=.csv" htmlFormat="all"/>
  </connection>
  <connection id="63" name="Connection65" type="4" refreshedVersion="4" background="1" saveData="1">
    <webPr xl2000="1" url="http://ichart.finance.yahoo.com/table.csv?s=XOM&amp;a=0&amp;b=1&amp;c=2014&amp;d=3&amp;e=17&amp;f=2014&amp;g=&amp;q=q&amp;y=0&amp;z=XOM&amp;x=.csv" htmlFormat="all"/>
  </connection>
  <connection id="64" name="Connection66" type="4" refreshedVersion="4" background="1" saveData="1">
    <webPr xl2000="1" url="http://ichart.finance.yahoo.com/table.csv?s=XOM&amp;a=0&amp;b=1&amp;c=2014&amp;d=3&amp;e=17&amp;f=2014&amp;g=&amp;q=q&amp;y=0&amp;z=XOM&amp;x=.csv" htmlFormat="all"/>
  </connection>
  <connection id="65" name="Connection67" type="4" refreshedVersion="4" background="1" saveData="1">
    <webPr xl2000="1" url="http://ichart.finance.yahoo.com/table.csv?s=XOM&amp;a=0&amp;b=1&amp;c=2014&amp;d=3&amp;e=17&amp;f=2014&amp;g=&amp;q=q&amp;y=0&amp;z=XOM&amp;x=.csv" htmlFormat="all"/>
  </connection>
  <connection id="66" name="Connection68" type="4" refreshedVersion="4" background="1" saveData="1">
    <webPr xl2000="1" url="http://ichart.finance.yahoo.com/table.csv?s=XOM&amp;a=0&amp;b=1&amp;c=2014&amp;d=3&amp;e=20&amp;f=2014&amp;g=&amp;q=q&amp;y=0&amp;z=XOM&amp;x=.csv" htmlFormat="all"/>
  </connection>
  <connection id="67" name="Connection69" type="4" refreshedVersion="4" background="1" saveData="1">
    <webPr xl2000="1" url="http://ichart.finance.yahoo.com/table.csv?s=XOM&amp;a=0&amp;b=1&amp;c=2014&amp;d=3&amp;e=20&amp;f=2014&amp;g=&amp;q=q&amp;y=0&amp;z=XOM&amp;x=.csv" htmlFormat="all"/>
  </connection>
  <connection id="68" name="Connection7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69" name="Connection70" type="4" refreshedVersion="4" background="1" saveData="1">
    <webPr xl2000="1" url="http://ichart.finance.yahoo.com/table.csv?s=XOM&amp;a=0&amp;b=1&amp;c=2014&amp;d=3&amp;e=20&amp;f=2014&amp;g=&amp;q=q&amp;y=0&amp;z=XOM&amp;x=.csv" htmlFormat="all"/>
  </connection>
  <connection id="70" name="Connection71" type="4" refreshedVersion="4" background="1" saveData="1">
    <webPr xl2000="1" url="http://ichart.finance.yahoo.com/table.csv?s=XOM&amp;a=0&amp;b=1&amp;c=2014&amp;d=3&amp;e=20&amp;f=2014&amp;g=&amp;q=q&amp;y=0&amp;z=XOM&amp;x=.csv" htmlFormat="all"/>
  </connection>
  <connection id="71" name="Connection72" type="4" refreshedVersion="4" background="1" saveData="1">
    <webPr xl2000="1" url="http://ichart.finance.yahoo.com/table.csv?s=XOM&amp;a=0&amp;b=1&amp;c=2014&amp;d=3&amp;e=20&amp;f=2014&amp;g=&amp;q=q&amp;y=0&amp;z=XOM&amp;x=.csv" htmlFormat="all"/>
  </connection>
  <connection id="72" name="Connection73" type="4" refreshedVersion="4" background="1" saveData="1">
    <webPr xl2000="1" url="http://ichart.finance.yahoo.com/table.csv?s=XOM&amp;a=0&amp;b=1&amp;c=2014&amp;d=3&amp;e=20&amp;f=2014&amp;g=&amp;q=q&amp;y=0&amp;z=XOM&amp;x=.csv" htmlFormat="all"/>
  </connection>
  <connection id="73" name="Connection74" type="4" refreshedVersion="4" background="1" saveData="1">
    <webPr xl2000="1" url="http://ichart.finance.yahoo.com/table.csv?s=XOM&amp;a=0&amp;b=1&amp;c=2013&amp;d=3&amp;e=20&amp;f=2014&amp;g=&amp;q=q&amp;y=0&amp;z=XOM&amp;x=.csv" htmlFormat="all"/>
  </connection>
  <connection id="74" name="Connection75" type="4" refreshedVersion="4" background="1" saveData="1">
    <webPr xl2000="1" url="http://ichart.finance.yahoo.com/table.csv?s=XOM&amp;a=0&amp;b=1&amp;c=2014&amp;d=3&amp;e=20&amp;f=2014&amp;g=&amp;q=q&amp;y=0&amp;z=XOM&amp;x=.csv" htmlFormat="all"/>
  </connection>
  <connection id="75" name="Connection76" type="4" refreshedVersion="4" background="1" saveData="1">
    <webPr xl2000="1" url="http://ichart.finance.yahoo.com/table.csv?s=XOM&amp;a=2&amp;b=23&amp;c=2014&amp;d=3&amp;e=22&amp;f=2014&amp;g=&amp;q=q&amp;y=0&amp;z=XOM&amp;x=.csv" htmlFormat="all"/>
  </connection>
  <connection id="76" name="Connection77" type="4" refreshedVersion="4" background="1" saveData="1">
    <webPr xl2000="1" url="http://ichart.finance.yahoo.com/table.csv?s=XOM&amp;a=2&amp;b=9&amp;c=2014&amp;d=3&amp;e=22&amp;f=2014&amp;g=&amp;q=q&amp;y=0&amp;z=XOM&amp;x=.csv" htmlFormat="all"/>
  </connection>
  <connection id="77" name="Connection78" type="4" refreshedVersion="4" background="1" saveData="1">
    <webPr xl2000="1" url="http://ichart.finance.yahoo.com/table.csv?s=XOM&amp;a=0&amp;b=22&amp;c=2014&amp;d=3&amp;e=22&amp;f=2014&amp;g=&amp;q=q&amp;y=0&amp;z=XOM&amp;x=.csv" htmlFormat="all"/>
  </connection>
  <connection id="78" name="Connection79" type="4" refreshedVersion="4" background="1" saveData="1">
    <webPr xl2000="1" url="http://ichart.finance.yahoo.com/table.csv?s=XOM&amp;a=0&amp;b=1&amp;c=2014&amp;d=3&amp;e=22&amp;f=2014&amp;g=&amp;q=q&amp;y=0&amp;z=XOM&amp;x=.csv" htmlFormat="all"/>
  </connection>
  <connection id="79" name="Connection8" type="4" refreshedVersion="0" background="1">
    <webPr url="http://ichart.yahoo.com/table.csv?s=54.99&amp;a=1&amp;b=23&amp;c=1900&amp;d=1&amp;e=23&amp;f=1900&amp;g=&amp;q=q&amp;y=0&amp;z=54.99&amp;x=.csv" htmlTables="1" htmlFormat="all"/>
  </connection>
  <connection id="80" name="Connection80" type="4" refreshedVersion="4" background="1" saveData="1">
    <webPr xl2000="1" url="http://ichart.finance.yahoo.com/table.csv?s=XOM&amp;a=0&amp;b=1&amp;c=2014&amp;d=3&amp;e=22&amp;f=2014&amp;g=&amp;q=q&amp;y=0&amp;z=XOM&amp;x=.csv" htmlFormat="all"/>
  </connection>
  <connection id="81" name="Connection81" type="4" refreshedVersion="4" background="1" saveData="1">
    <webPr xl2000="1" url="http://ichart.finance.yahoo.com/table.csv?s=XOM&amp;a=0&amp;b=1&amp;c=2014&amp;d=3&amp;e=22&amp;f=2014&amp;g=&amp;q=q&amp;y=0&amp;z=XOM&amp;x=.csv" htmlFormat="all"/>
  </connection>
  <connection id="82" name="Connection82" type="4" refreshedVersion="4" background="1" saveData="1">
    <webPr xl2000="1" url="http://ichart.finance.yahoo.com/table.csv?s=^GSPC&amp;a=3&amp;b=20&amp;c=2013&amp;d=8&amp;e=22&amp;f=2013&amp;g=&amp;q=q&amp;y=0&amp;z=^GSPC&amp;x=.csv" htmlFormat="all"/>
  </connection>
  <connection id="83" name="Connection83" type="4" refreshedVersion="4" background="1" saveData="1">
    <webPr xl2000="1" url="http://ichart.finance.yahoo.com/table.csv?s=^GSPC&amp;a=3&amp;b=20&amp;c=2013&amp;d=8&amp;e=22&amp;f=2013&amp;g=&amp;q=q&amp;y=0&amp;z=^GSPC&amp;x=.csv" htmlFormat="all"/>
  </connection>
  <connection id="84" name="Connection84" type="4" refreshedVersion="4" background="1" saveData="1">
    <webPr xl2000="1" url="http://ichart.finance.yahoo.com/table.csv?s=^GSPC&amp;a=3&amp;b=20&amp;c=2013&amp;d=8&amp;e=22&amp;f=2013&amp;g=&amp;q=q&amp;y=0&amp;z=^GSPC&amp;x=.csv" htmlFormat="all"/>
  </connection>
  <connection id="85" name="Connection85" type="4" refreshedVersion="4" background="1" saveData="1">
    <webPr xl2000="1" url="http://ichart.finance.yahoo.com/table.csv?s=^GSPC&amp;a=3&amp;b=20&amp;c=2013&amp;d=8&amp;e=22&amp;f=2013&amp;g=&amp;q=q&amp;y=0&amp;z=^GSPC&amp;x=.csv" htmlFormat="all"/>
  </connection>
  <connection id="86" name="Connection9" type="4" refreshedVersion="4" background="1" saveData="1">
    <webPr xl2000="1" url="http://ichart.yahoo.com/table.csv?s=WMT&amp;a=0&amp;b=1&amp;c=2010&amp;d=5&amp;e=1&amp;f=2011&amp;g=&amp;q=q&amp;y=0&amp;z=WMT&amp;x=.csv" htmlFormat="all"/>
  </connection>
</connections>
</file>

<file path=xl/sharedStrings.xml><?xml version="1.0" encoding="utf-8"?>
<sst xmlns="http://schemas.openxmlformats.org/spreadsheetml/2006/main" count="21" uniqueCount="21">
  <si>
    <t>End date</t>
  </si>
  <si>
    <t xml:space="preserve"> </t>
  </si>
  <si>
    <t>Date</t>
  </si>
  <si>
    <t>Open</t>
  </si>
  <si>
    <t>High</t>
  </si>
  <si>
    <t>Low</t>
  </si>
  <si>
    <t>Close</t>
  </si>
  <si>
    <t>Volume</t>
  </si>
  <si>
    <t>Adj Close</t>
  </si>
  <si>
    <t>Data for Yahoo</t>
  </si>
  <si>
    <t>Stock ticker</t>
  </si>
  <si>
    <t>Start date</t>
  </si>
  <si>
    <t>http://investexcel.net</t>
  </si>
  <si>
    <t>Lookback Period</t>
  </si>
  <si>
    <t>Stochastic Oscillator</t>
  </si>
  <si>
    <t>Highest High</t>
  </si>
  <si>
    <t>Lowest Low</t>
  </si>
  <si>
    <t>%K</t>
  </si>
  <si>
    <t>Smoothing Period</t>
  </si>
  <si>
    <t>%D</t>
  </si>
  <si>
    <t>^GSPC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</si>
</sst>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%"/>
    <numFmt numFmtId="165" formatCode="[$-1009]d\-mmm\-yy;@"/>
  </numFmts>
  <fonts count="6">
    <font>
      <sz val="11"/>
      <color theme="1"/>
      <name val="Calibri"/>
      <family val="2"/>
      <scheme val="minor"/>
    </font>
    <font>
      <sz val="12"/>
      <name val="宋体"/>
      <charset val="134"/>
    </font>
    <font>
      <b/>
      <sz val="2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164" fontId="0" fillId="0" borderId="0" xfId="0" applyNumberFormat="1"/>
    <xf numFmtId="0" fontId="3" fillId="0" borderId="0" xfId="2"/>
    <xf numFmtId="0" fontId="4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4" xfId="0" applyFill="1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0" fontId="0" fillId="2" borderId="4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4" fontId="0" fillId="0" borderId="0" xfId="0" applyNumberFormat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Stochastic Oscillator for ^GSPC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%K</c:v>
          </c:tx>
          <c:spPr>
            <a:ln w="12700"/>
          </c:spPr>
          <c:marker>
            <c:symbol val="none"/>
          </c:marker>
          <c:cat>
            <c:strRef>
              <c:f>Data!$A$2:$A$109</c:f>
              <c:strCache>
                <c:ptCount val="108"/>
                <c:pt idx="0">
                  <c:v>4/22/2013</c:v>
                </c:pt>
                <c:pt idx="1">
                  <c:v>4/23/2013</c:v>
                </c:pt>
                <c:pt idx="2">
                  <c:v>4/24/2013</c:v>
                </c:pt>
                <c:pt idx="3">
                  <c:v>4/25/2013</c:v>
                </c:pt>
                <c:pt idx="4">
                  <c:v>4/26/2013</c:v>
                </c:pt>
                <c:pt idx="5">
                  <c:v>4/29/2013</c:v>
                </c:pt>
                <c:pt idx="6">
                  <c:v>4/30/2013</c:v>
                </c:pt>
                <c:pt idx="7">
                  <c:v>5/1/2013</c:v>
                </c:pt>
                <c:pt idx="8">
                  <c:v>5/2/2013</c:v>
                </c:pt>
                <c:pt idx="9">
                  <c:v>5/3/2013</c:v>
                </c:pt>
                <c:pt idx="10">
                  <c:v>5/6/2013</c:v>
                </c:pt>
                <c:pt idx="11">
                  <c:v>5/7/2013</c:v>
                </c:pt>
                <c:pt idx="12">
                  <c:v>5/8/2013</c:v>
                </c:pt>
                <c:pt idx="13">
                  <c:v>5/9/2013</c:v>
                </c:pt>
                <c:pt idx="14">
                  <c:v>5/10/2013</c:v>
                </c:pt>
                <c:pt idx="15">
                  <c:v>5/13/2013</c:v>
                </c:pt>
                <c:pt idx="16">
                  <c:v>5/14/2013</c:v>
                </c:pt>
                <c:pt idx="17">
                  <c:v>5/15/2013</c:v>
                </c:pt>
                <c:pt idx="18">
                  <c:v>5/16/2013</c:v>
                </c:pt>
                <c:pt idx="19">
                  <c:v>5/17/2013</c:v>
                </c:pt>
                <c:pt idx="20">
                  <c:v>5/20/2013</c:v>
                </c:pt>
                <c:pt idx="21">
                  <c:v>5/21/2013</c:v>
                </c:pt>
                <c:pt idx="22">
                  <c:v>5/22/2013</c:v>
                </c:pt>
                <c:pt idx="23">
                  <c:v>5/23/2013</c:v>
                </c:pt>
                <c:pt idx="24">
                  <c:v>5/24/2013</c:v>
                </c:pt>
                <c:pt idx="25">
                  <c:v>5/28/2013</c:v>
                </c:pt>
                <c:pt idx="26">
                  <c:v>5/29/2013</c:v>
                </c:pt>
                <c:pt idx="27">
                  <c:v>5/30/2013</c:v>
                </c:pt>
                <c:pt idx="28">
                  <c:v>5/31/2013</c:v>
                </c:pt>
                <c:pt idx="29">
                  <c:v>6/3/2013</c:v>
                </c:pt>
                <c:pt idx="30">
                  <c:v>6/4/2013</c:v>
                </c:pt>
                <c:pt idx="31">
                  <c:v>6/5/2013</c:v>
                </c:pt>
                <c:pt idx="32">
                  <c:v>6/6/2013</c:v>
                </c:pt>
                <c:pt idx="33">
                  <c:v>6/7/2013</c:v>
                </c:pt>
                <c:pt idx="34">
                  <c:v>6/10/2013</c:v>
                </c:pt>
                <c:pt idx="35">
                  <c:v>6/11/2013</c:v>
                </c:pt>
                <c:pt idx="36">
                  <c:v>6/12/2013</c:v>
                </c:pt>
                <c:pt idx="37">
                  <c:v>6/13/2013</c:v>
                </c:pt>
                <c:pt idx="38">
                  <c:v>6/14/2013</c:v>
                </c:pt>
                <c:pt idx="39">
                  <c:v>6/17/2013</c:v>
                </c:pt>
                <c:pt idx="40">
                  <c:v>6/18/2013</c:v>
                </c:pt>
                <c:pt idx="41">
                  <c:v>6/19/2013</c:v>
                </c:pt>
                <c:pt idx="42">
                  <c:v>6/20/2013</c:v>
                </c:pt>
                <c:pt idx="43">
                  <c:v>6/21/2013</c:v>
                </c:pt>
                <c:pt idx="44">
                  <c:v>6/24/2013</c:v>
                </c:pt>
                <c:pt idx="45">
                  <c:v>6/25/2013</c:v>
                </c:pt>
                <c:pt idx="46">
                  <c:v>6/26/2013</c:v>
                </c:pt>
                <c:pt idx="47">
                  <c:v>6/27/2013</c:v>
                </c:pt>
                <c:pt idx="48">
                  <c:v>6/28/2013</c:v>
                </c:pt>
                <c:pt idx="49">
                  <c:v>7/1/2013</c:v>
                </c:pt>
                <c:pt idx="50">
                  <c:v>7/2/2013</c:v>
                </c:pt>
                <c:pt idx="51">
                  <c:v>7/3/2013</c:v>
                </c:pt>
                <c:pt idx="52">
                  <c:v>7/5/2013</c:v>
                </c:pt>
                <c:pt idx="53">
                  <c:v>7/8/2013</c:v>
                </c:pt>
                <c:pt idx="54">
                  <c:v>7/9/2013</c:v>
                </c:pt>
                <c:pt idx="55">
                  <c:v>7/10/2013</c:v>
                </c:pt>
                <c:pt idx="56">
                  <c:v>7/11/2013</c:v>
                </c:pt>
                <c:pt idx="57">
                  <c:v>7/12/2013</c:v>
                </c:pt>
                <c:pt idx="58">
                  <c:v>7/15/2013</c:v>
                </c:pt>
                <c:pt idx="59">
                  <c:v>7/16/2013</c:v>
                </c:pt>
                <c:pt idx="60">
                  <c:v>7/17/2013</c:v>
                </c:pt>
                <c:pt idx="61">
                  <c:v>7/18/2013</c:v>
                </c:pt>
                <c:pt idx="62">
                  <c:v>7/19/2013</c:v>
                </c:pt>
                <c:pt idx="63">
                  <c:v>7/22/2013</c:v>
                </c:pt>
                <c:pt idx="64">
                  <c:v>7/23/2013</c:v>
                </c:pt>
                <c:pt idx="65">
                  <c:v>7/24/2013</c:v>
                </c:pt>
                <c:pt idx="66">
                  <c:v>7/25/2013</c:v>
                </c:pt>
                <c:pt idx="67">
                  <c:v>7/26/2013</c:v>
                </c:pt>
                <c:pt idx="68">
                  <c:v>7/29/2013</c:v>
                </c:pt>
                <c:pt idx="69">
                  <c:v>7/30/2013</c:v>
                </c:pt>
                <c:pt idx="70">
                  <c:v>7/31/2013</c:v>
                </c:pt>
                <c:pt idx="71">
                  <c:v>8/1/2013</c:v>
                </c:pt>
                <c:pt idx="72">
                  <c:v>8/2/2013</c:v>
                </c:pt>
                <c:pt idx="73">
                  <c:v>8/5/2013</c:v>
                </c:pt>
                <c:pt idx="74">
                  <c:v>8/6/2013</c:v>
                </c:pt>
                <c:pt idx="75">
                  <c:v>8/7/2013</c:v>
                </c:pt>
                <c:pt idx="76">
                  <c:v>8/8/2013</c:v>
                </c:pt>
                <c:pt idx="77">
                  <c:v>8/9/2013</c:v>
                </c:pt>
                <c:pt idx="78">
                  <c:v>8/12/2013</c:v>
                </c:pt>
                <c:pt idx="79">
                  <c:v>8/13/2013</c:v>
                </c:pt>
                <c:pt idx="80">
                  <c:v>8/14/2013</c:v>
                </c:pt>
                <c:pt idx="81">
                  <c:v>8/15/2013</c:v>
                </c:pt>
                <c:pt idx="82">
                  <c:v>8/16/2013</c:v>
                </c:pt>
                <c:pt idx="83">
                  <c:v>8/19/2013</c:v>
                </c:pt>
                <c:pt idx="84">
                  <c:v>8/20/2013</c:v>
                </c:pt>
                <c:pt idx="85">
                  <c:v>8/21/2013</c:v>
                </c:pt>
                <c:pt idx="86">
                  <c:v>8/22/2013</c:v>
                </c:pt>
                <c:pt idx="87">
                  <c:v>8/23/2013</c:v>
                </c:pt>
                <c:pt idx="88">
                  <c:v>8/26/2013</c:v>
                </c:pt>
                <c:pt idx="89">
                  <c:v>8/27/2013</c:v>
                </c:pt>
                <c:pt idx="90">
                  <c:v>8/28/2013</c:v>
                </c:pt>
                <c:pt idx="91">
                  <c:v>8/29/2013</c:v>
                </c:pt>
                <c:pt idx="92">
                  <c:v>8/30/2013</c:v>
                </c:pt>
                <c:pt idx="93">
                  <c:v>9/3/2013</c:v>
                </c:pt>
                <c:pt idx="94">
                  <c:v>9/4/2013</c:v>
                </c:pt>
                <c:pt idx="95">
                  <c:v>9/5/2013</c:v>
                </c:pt>
                <c:pt idx="96">
                  <c:v>9/6/2013</c:v>
                </c:pt>
                <c:pt idx="97">
                  <c:v>9/9/2013</c:v>
                </c:pt>
                <c:pt idx="98">
                  <c:v>9/10/2013</c:v>
                </c:pt>
                <c:pt idx="99">
                  <c:v>9/11/2013</c:v>
                </c:pt>
                <c:pt idx="100">
                  <c:v>9/12/2013</c:v>
                </c:pt>
                <c:pt idx="101">
                  <c:v>9/13/2013</c:v>
                </c:pt>
                <c:pt idx="102">
                  <c:v>9/16/2013</c:v>
                </c:pt>
                <c:pt idx="103">
                  <c:v>9/17/2013</c:v>
                </c:pt>
                <c:pt idx="104">
                  <c:v>9/18/2013</c:v>
                </c:pt>
                <c:pt idx="105">
                  <c:v>9/19/2013</c:v>
                </c:pt>
                <c:pt idx="106">
                  <c:v>9/20/2013</c:v>
                </c:pt>
                <c:pt idx="107">
                  <c:v> </c:v>
                </c:pt>
              </c:strCache>
            </c:strRef>
          </c:cat>
          <c:val>
            <c:numRef>
              <c:f>Data!$J$2:$J$109</c:f>
              <c:numCache>
                <c:formatCode>General</c:formatCode>
                <c:ptCount val="108"/>
                <c:pt idx="13">
                  <c:v>90.393918451969682</c:v>
                </c:pt>
                <c:pt idx="14">
                  <c:v>98.19335264101511</c:v>
                </c:pt>
                <c:pt idx="15">
                  <c:v>96.295681063122899</c:v>
                </c:pt>
                <c:pt idx="16">
                  <c:v>98.966548816970374</c:v>
                </c:pt>
                <c:pt idx="17">
                  <c:v>96.771118789467366</c:v>
                </c:pt>
                <c:pt idx="18">
                  <c:v>86.26106470514901</c:v>
                </c:pt>
                <c:pt idx="19">
                  <c:v>100</c:v>
                </c:pt>
                <c:pt idx="20">
                  <c:v>92.846221057230267</c:v>
                </c:pt>
                <c:pt idx="21">
                  <c:v>93.739149305555586</c:v>
                </c:pt>
                <c:pt idx="22">
                  <c:v>64.467515070328091</c:v>
                </c:pt>
                <c:pt idx="23">
                  <c:v>49.746471152528358</c:v>
                </c:pt>
                <c:pt idx="24">
                  <c:v>46.725262262545826</c:v>
                </c:pt>
                <c:pt idx="25">
                  <c:v>57.940446650123903</c:v>
                </c:pt>
                <c:pt idx="26">
                  <c:v>39.42892806990158</c:v>
                </c:pt>
                <c:pt idx="27">
                  <c:v>48.369308334646341</c:v>
                </c:pt>
                <c:pt idx="28">
                  <c:v>6.6181336863004576</c:v>
                </c:pt>
                <c:pt idx="29">
                  <c:v>27.458889233633315</c:v>
                </c:pt>
                <c:pt idx="30">
                  <c:v>13.4346881787156</c:v>
                </c:pt>
                <c:pt idx="31">
                  <c:v>2.2599575477589831</c:v>
                </c:pt>
                <c:pt idx="32">
                  <c:v>27.352445193929075</c:v>
                </c:pt>
                <c:pt idx="33">
                  <c:v>50.758853288364328</c:v>
                </c:pt>
                <c:pt idx="34">
                  <c:v>50.118043844856551</c:v>
                </c:pt>
                <c:pt idx="35">
                  <c:v>31.365935919055737</c:v>
                </c:pt>
                <c:pt idx="36">
                  <c:v>18.807580942353201</c:v>
                </c:pt>
                <c:pt idx="37">
                  <c:v>50.18425901553023</c:v>
                </c:pt>
                <c:pt idx="38">
                  <c:v>37.509871018689118</c:v>
                </c:pt>
                <c:pt idx="39">
                  <c:v>64.086055276381757</c:v>
                </c:pt>
                <c:pt idx="40">
                  <c:v>84.139447236180715</c:v>
                </c:pt>
                <c:pt idx="41">
                  <c:v>50.526662277814438</c:v>
                </c:pt>
                <c:pt idx="42">
                  <c:v>5.5388578789181508</c:v>
                </c:pt>
                <c:pt idx="43">
                  <c:v>19.257419270492896</c:v>
                </c:pt>
                <c:pt idx="44">
                  <c:v>13.594715533773677</c:v>
                </c:pt>
                <c:pt idx="45">
                  <c:v>29.512039207330076</c:v>
                </c:pt>
                <c:pt idx="46">
                  <c:v>45.738333688472196</c:v>
                </c:pt>
                <c:pt idx="47">
                  <c:v>56.32857447261884</c:v>
                </c:pt>
                <c:pt idx="48">
                  <c:v>48.955891753675665</c:v>
                </c:pt>
                <c:pt idx="49">
                  <c:v>58.203707649691061</c:v>
                </c:pt>
                <c:pt idx="50">
                  <c:v>57.266141061154826</c:v>
                </c:pt>
                <c:pt idx="51">
                  <c:v>58.683145109737985</c:v>
                </c:pt>
                <c:pt idx="52">
                  <c:v>76.241210313232557</c:v>
                </c:pt>
                <c:pt idx="53">
                  <c:v>85.371830385680809</c:v>
                </c:pt>
                <c:pt idx="54">
                  <c:v>98.018114011720698</c:v>
                </c:pt>
                <c:pt idx="55">
                  <c:v>94.569115688082618</c:v>
                </c:pt>
                <c:pt idx="56">
                  <c:v>98.615649183146928</c:v>
                </c:pt>
                <c:pt idx="57">
                  <c:v>100</c:v>
                </c:pt>
                <c:pt idx="58">
                  <c:v>98.12884006702663</c:v>
                </c:pt>
                <c:pt idx="59">
                  <c:v>91.055941023417176</c:v>
                </c:pt>
                <c:pt idx="60">
                  <c:v>95.411638188553098</c:v>
                </c:pt>
                <c:pt idx="61">
                  <c:v>95.926569628503145</c:v>
                </c:pt>
                <c:pt idx="62">
                  <c:v>98.836815358554517</c:v>
                </c:pt>
                <c:pt idx="63">
                  <c:v>97.76440240756672</c:v>
                </c:pt>
                <c:pt idx="64">
                  <c:v>93.217280543466856</c:v>
                </c:pt>
                <c:pt idx="65">
                  <c:v>84.727013203283065</c:v>
                </c:pt>
                <c:pt idx="66">
                  <c:v>86.791576339423997</c:v>
                </c:pt>
                <c:pt idx="67">
                  <c:v>87.242798353909649</c:v>
                </c:pt>
                <c:pt idx="68">
                  <c:v>73.689358372456809</c:v>
                </c:pt>
                <c:pt idx="69">
                  <c:v>69.011360889533549</c:v>
                </c:pt>
                <c:pt idx="70">
                  <c:v>51.559020044543701</c:v>
                </c:pt>
                <c:pt idx="71">
                  <c:v>97.278533740627552</c:v>
                </c:pt>
                <c:pt idx="72">
                  <c:v>100</c:v>
                </c:pt>
                <c:pt idx="73">
                  <c:v>92.479191438763479</c:v>
                </c:pt>
                <c:pt idx="74">
                  <c:v>63.436385255647608</c:v>
                </c:pt>
                <c:pt idx="75">
                  <c:v>44.233055885850369</c:v>
                </c:pt>
                <c:pt idx="76">
                  <c:v>63.763376932223494</c:v>
                </c:pt>
                <c:pt idx="77">
                  <c:v>45.749108204518592</c:v>
                </c:pt>
                <c:pt idx="78">
                  <c:v>39.952437574316335</c:v>
                </c:pt>
                <c:pt idx="79">
                  <c:v>53.894173602853911</c:v>
                </c:pt>
                <c:pt idx="80">
                  <c:v>27.824019024970571</c:v>
                </c:pt>
                <c:pt idx="81">
                  <c:v>5.3445575567737071</c:v>
                </c:pt>
                <c:pt idx="82">
                  <c:v>5.6431826147914785</c:v>
                </c:pt>
                <c:pt idx="83">
                  <c:v>0.34466551778164933</c:v>
                </c:pt>
                <c:pt idx="84">
                  <c:v>10.198966003446616</c:v>
                </c:pt>
                <c:pt idx="85">
                  <c:v>4.7978359908882267</c:v>
                </c:pt>
                <c:pt idx="86">
                  <c:v>25.111015613808892</c:v>
                </c:pt>
                <c:pt idx="87">
                  <c:v>36.271850512356799</c:v>
                </c:pt>
                <c:pt idx="88">
                  <c:v>28.559670781892855</c:v>
                </c:pt>
                <c:pt idx="89">
                  <c:v>2.0104034865739653</c:v>
                </c:pt>
                <c:pt idx="90">
                  <c:v>10.410006949270333</c:v>
                </c:pt>
                <c:pt idx="91">
                  <c:v>15.431208537640694</c:v>
                </c:pt>
                <c:pt idx="92">
                  <c:v>7.9319296221517259</c:v>
                </c:pt>
                <c:pt idx="93">
                  <c:v>18.074944893460636</c:v>
                </c:pt>
                <c:pt idx="94">
                  <c:v>49.117759877253476</c:v>
                </c:pt>
                <c:pt idx="95">
                  <c:v>65.675547098001715</c:v>
                </c:pt>
                <c:pt idx="96">
                  <c:v>65.889628924833659</c:v>
                </c:pt>
                <c:pt idx="97">
                  <c:v>98.464277765412746</c:v>
                </c:pt>
                <c:pt idx="98">
                  <c:v>99.823383963264021</c:v>
                </c:pt>
                <c:pt idx="99">
                  <c:v>100</c:v>
                </c:pt>
                <c:pt idx="100">
                  <c:v>89.520000000000081</c:v>
                </c:pt>
                <c:pt idx="101">
                  <c:v>96.831999999999979</c:v>
                </c:pt>
                <c:pt idx="102">
                  <c:v>90.513680949922389</c:v>
                </c:pt>
                <c:pt idx="103">
                  <c:v>99.026265214606042</c:v>
                </c:pt>
                <c:pt idx="104">
                  <c:v>96.133741000098567</c:v>
                </c:pt>
                <c:pt idx="105">
                  <c:v>92.613692171692392</c:v>
                </c:pt>
                <c:pt idx="106">
                  <c:v>79.315707620528926</c:v>
                </c:pt>
              </c:numCache>
            </c:numRef>
          </c:val>
          <c:smooth val="0"/>
        </c:ser>
        <c:ser>
          <c:idx val="1"/>
          <c:order val="1"/>
          <c:tx>
            <c:v>%D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val>
            <c:numRef>
              <c:f>Data!$K$2:$K$109</c:f>
              <c:numCache>
                <c:formatCode>General</c:formatCode>
                <c:ptCount val="108"/>
                <c:pt idx="15">
                  <c:v>94.960984052035897</c:v>
                </c:pt>
                <c:pt idx="16">
                  <c:v>97.818527507036137</c:v>
                </c:pt>
                <c:pt idx="17">
                  <c:v>97.344449556520217</c:v>
                </c:pt>
                <c:pt idx="18">
                  <c:v>93.999577437195583</c:v>
                </c:pt>
                <c:pt idx="19">
                  <c:v>94.34406116487213</c:v>
                </c:pt>
                <c:pt idx="20">
                  <c:v>93.035761920793092</c:v>
                </c:pt>
                <c:pt idx="21">
                  <c:v>95.528456787595289</c:v>
                </c:pt>
                <c:pt idx="22">
                  <c:v>83.684295144371319</c:v>
                </c:pt>
                <c:pt idx="23">
                  <c:v>69.317711842804016</c:v>
                </c:pt>
                <c:pt idx="24">
                  <c:v>53.646416161800765</c:v>
                </c:pt>
                <c:pt idx="25">
                  <c:v>51.47072668839936</c:v>
                </c:pt>
                <c:pt idx="26">
                  <c:v>48.031545660857098</c:v>
                </c:pt>
                <c:pt idx="27">
                  <c:v>48.579561018223949</c:v>
                </c:pt>
                <c:pt idx="28">
                  <c:v>31.472123363616124</c:v>
                </c:pt>
                <c:pt idx="29">
                  <c:v>27.482110418193372</c:v>
                </c:pt>
                <c:pt idx="30">
                  <c:v>15.837237032883124</c:v>
                </c:pt>
                <c:pt idx="31">
                  <c:v>14.384511653369302</c:v>
                </c:pt>
                <c:pt idx="32">
                  <c:v>14.34903030680122</c:v>
                </c:pt>
                <c:pt idx="33">
                  <c:v>26.79041867668413</c:v>
                </c:pt>
                <c:pt idx="34">
                  <c:v>42.743114109049991</c:v>
                </c:pt>
                <c:pt idx="35">
                  <c:v>44.08094435075887</c:v>
                </c:pt>
                <c:pt idx="36">
                  <c:v>33.430520235421831</c:v>
                </c:pt>
                <c:pt idx="37">
                  <c:v>33.452591958979724</c:v>
                </c:pt>
                <c:pt idx="38">
                  <c:v>35.500570325524187</c:v>
                </c:pt>
                <c:pt idx="39">
                  <c:v>50.593395103533702</c:v>
                </c:pt>
                <c:pt idx="40">
                  <c:v>61.911791177083863</c:v>
                </c:pt>
                <c:pt idx="41">
                  <c:v>66.250721596792303</c:v>
                </c:pt>
                <c:pt idx="42">
                  <c:v>46.734989130971094</c:v>
                </c:pt>
                <c:pt idx="43">
                  <c:v>25.107646475741831</c:v>
                </c:pt>
                <c:pt idx="44">
                  <c:v>12.796997561061573</c:v>
                </c:pt>
                <c:pt idx="45">
                  <c:v>20.788058003865547</c:v>
                </c:pt>
                <c:pt idx="46">
                  <c:v>29.615029476525319</c:v>
                </c:pt>
                <c:pt idx="47">
                  <c:v>43.859649122807035</c:v>
                </c:pt>
                <c:pt idx="48">
                  <c:v>50.340933304922231</c:v>
                </c:pt>
                <c:pt idx="49">
                  <c:v>54.496057958661858</c:v>
                </c:pt>
                <c:pt idx="50">
                  <c:v>54.808580154840513</c:v>
                </c:pt>
                <c:pt idx="51">
                  <c:v>58.050997940194627</c:v>
                </c:pt>
                <c:pt idx="52">
                  <c:v>64.063498828041787</c:v>
                </c:pt>
                <c:pt idx="53">
                  <c:v>73.43206193621711</c:v>
                </c:pt>
                <c:pt idx="54">
                  <c:v>86.543718236878021</c:v>
                </c:pt>
                <c:pt idx="55">
                  <c:v>92.653020028494709</c:v>
                </c:pt>
                <c:pt idx="56">
                  <c:v>97.067626294316753</c:v>
                </c:pt>
                <c:pt idx="57">
                  <c:v>97.728254957076516</c:v>
                </c:pt>
                <c:pt idx="58">
                  <c:v>98.914829750057848</c:v>
                </c:pt>
                <c:pt idx="59">
                  <c:v>96.39492703014794</c:v>
                </c:pt>
                <c:pt idx="60">
                  <c:v>94.865473092998968</c:v>
                </c:pt>
                <c:pt idx="61">
                  <c:v>94.131382946824473</c:v>
                </c:pt>
                <c:pt idx="62">
                  <c:v>96.725007725203582</c:v>
                </c:pt>
                <c:pt idx="63">
                  <c:v>97.509262464874794</c:v>
                </c:pt>
                <c:pt idx="64">
                  <c:v>96.606166103196031</c:v>
                </c:pt>
                <c:pt idx="65">
                  <c:v>91.902898718105533</c:v>
                </c:pt>
                <c:pt idx="66">
                  <c:v>88.245290028724639</c:v>
                </c:pt>
                <c:pt idx="67">
                  <c:v>86.253795965538913</c:v>
                </c:pt>
                <c:pt idx="68">
                  <c:v>82.574577688596818</c:v>
                </c:pt>
                <c:pt idx="69">
                  <c:v>76.647839205300002</c:v>
                </c:pt>
                <c:pt idx="70">
                  <c:v>64.753246435511343</c:v>
                </c:pt>
                <c:pt idx="71">
                  <c:v>72.616304891568277</c:v>
                </c:pt>
                <c:pt idx="72">
                  <c:v>82.945851261723746</c:v>
                </c:pt>
                <c:pt idx="73">
                  <c:v>96.585908393130353</c:v>
                </c:pt>
                <c:pt idx="74">
                  <c:v>85.305192231470357</c:v>
                </c:pt>
                <c:pt idx="75">
                  <c:v>66.716210860087145</c:v>
                </c:pt>
                <c:pt idx="76">
                  <c:v>57.144272691240495</c:v>
                </c:pt>
                <c:pt idx="77">
                  <c:v>51.248513674197483</c:v>
                </c:pt>
                <c:pt idx="78">
                  <c:v>49.821640903686138</c:v>
                </c:pt>
                <c:pt idx="79">
                  <c:v>46.531906460562944</c:v>
                </c:pt>
                <c:pt idx="80">
                  <c:v>40.556876734046938</c:v>
                </c:pt>
                <c:pt idx="81">
                  <c:v>29.020916728199396</c:v>
                </c:pt>
                <c:pt idx="82">
                  <c:v>12.937253065511918</c:v>
                </c:pt>
                <c:pt idx="83">
                  <c:v>3.7774685631156117</c:v>
                </c:pt>
                <c:pt idx="84">
                  <c:v>5.3956047120065813</c:v>
                </c:pt>
                <c:pt idx="85">
                  <c:v>5.1138225040388301</c:v>
                </c:pt>
                <c:pt idx="86">
                  <c:v>13.369272536047911</c:v>
                </c:pt>
                <c:pt idx="87">
                  <c:v>22.060234039017974</c:v>
                </c:pt>
                <c:pt idx="88">
                  <c:v>29.980845636019513</c:v>
                </c:pt>
                <c:pt idx="89">
                  <c:v>22.280641593607871</c:v>
                </c:pt>
                <c:pt idx="90">
                  <c:v>13.66002707257905</c:v>
                </c:pt>
                <c:pt idx="91">
                  <c:v>9.2838729911616635</c:v>
                </c:pt>
                <c:pt idx="92">
                  <c:v>11.25771503635425</c:v>
                </c:pt>
                <c:pt idx="93">
                  <c:v>13.812694351084351</c:v>
                </c:pt>
                <c:pt idx="94">
                  <c:v>25.041544797621942</c:v>
                </c:pt>
                <c:pt idx="95">
                  <c:v>44.289417289571951</c:v>
                </c:pt>
                <c:pt idx="96">
                  <c:v>60.227645300029621</c:v>
                </c:pt>
                <c:pt idx="97">
                  <c:v>76.676484596082716</c:v>
                </c:pt>
                <c:pt idx="98">
                  <c:v>88.059096884503461</c:v>
                </c:pt>
                <c:pt idx="99">
                  <c:v>99.429220576225589</c:v>
                </c:pt>
                <c:pt idx="100">
                  <c:v>96.447794654421372</c:v>
                </c:pt>
                <c:pt idx="101">
                  <c:v>95.450666666666692</c:v>
                </c:pt>
                <c:pt idx="102">
                  <c:v>92.288560316640812</c:v>
                </c:pt>
                <c:pt idx="103">
                  <c:v>95.457315388176141</c:v>
                </c:pt>
                <c:pt idx="104">
                  <c:v>95.224562388208994</c:v>
                </c:pt>
                <c:pt idx="105">
                  <c:v>95.924566128798986</c:v>
                </c:pt>
                <c:pt idx="106">
                  <c:v>89.354380264106624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732288"/>
        <c:axId val="86786816"/>
      </c:lineChart>
      <c:lineChart>
        <c:grouping val="standard"/>
        <c:varyColors val="0"/>
        <c:ser>
          <c:idx val="2"/>
          <c:order val="2"/>
          <c:tx>
            <c:v>Close Price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Data!$E$2:$E$109</c:f>
              <c:numCache>
                <c:formatCode>General</c:formatCode>
                <c:ptCount val="108"/>
                <c:pt idx="0">
                  <c:v>1562.5</c:v>
                </c:pt>
                <c:pt idx="1">
                  <c:v>1578.78</c:v>
                </c:pt>
                <c:pt idx="2">
                  <c:v>1578.79</c:v>
                </c:pt>
                <c:pt idx="3">
                  <c:v>1585.16</c:v>
                </c:pt>
                <c:pt idx="4">
                  <c:v>1582.24</c:v>
                </c:pt>
                <c:pt idx="5">
                  <c:v>1593.61</c:v>
                </c:pt>
                <c:pt idx="6">
                  <c:v>1597.57</c:v>
                </c:pt>
                <c:pt idx="7">
                  <c:v>1582.7</c:v>
                </c:pt>
                <c:pt idx="8">
                  <c:v>1597.59</c:v>
                </c:pt>
                <c:pt idx="9">
                  <c:v>1614.42</c:v>
                </c:pt>
                <c:pt idx="10">
                  <c:v>1617.5</c:v>
                </c:pt>
                <c:pt idx="11">
                  <c:v>1625.96</c:v>
                </c:pt>
                <c:pt idx="12">
                  <c:v>1632.69</c:v>
                </c:pt>
                <c:pt idx="13">
                  <c:v>1626.67</c:v>
                </c:pt>
                <c:pt idx="14">
                  <c:v>1633.7</c:v>
                </c:pt>
                <c:pt idx="15">
                  <c:v>1633.77</c:v>
                </c:pt>
                <c:pt idx="16">
                  <c:v>1650.34</c:v>
                </c:pt>
                <c:pt idx="17">
                  <c:v>1658.78</c:v>
                </c:pt>
                <c:pt idx="18">
                  <c:v>1650.47</c:v>
                </c:pt>
                <c:pt idx="19">
                  <c:v>1667.47</c:v>
                </c:pt>
                <c:pt idx="20">
                  <c:v>1666.29</c:v>
                </c:pt>
                <c:pt idx="21">
                  <c:v>1669.16</c:v>
                </c:pt>
                <c:pt idx="22">
                  <c:v>1655.35</c:v>
                </c:pt>
                <c:pt idx="23">
                  <c:v>1650.51</c:v>
                </c:pt>
                <c:pt idx="24">
                  <c:v>1649.6</c:v>
                </c:pt>
                <c:pt idx="25">
                  <c:v>1660.06</c:v>
                </c:pt>
                <c:pt idx="26">
                  <c:v>1648.36</c:v>
                </c:pt>
                <c:pt idx="27">
                  <c:v>1654.41</c:v>
                </c:pt>
                <c:pt idx="28">
                  <c:v>1630.74</c:v>
                </c:pt>
                <c:pt idx="29">
                  <c:v>1640.42</c:v>
                </c:pt>
                <c:pt idx="30">
                  <c:v>1631.38</c:v>
                </c:pt>
                <c:pt idx="31">
                  <c:v>1608.9</c:v>
                </c:pt>
                <c:pt idx="32">
                  <c:v>1622.56</c:v>
                </c:pt>
                <c:pt idx="33">
                  <c:v>1643.38</c:v>
                </c:pt>
                <c:pt idx="34">
                  <c:v>1642.81</c:v>
                </c:pt>
                <c:pt idx="35">
                  <c:v>1626.13</c:v>
                </c:pt>
                <c:pt idx="36">
                  <c:v>1612.52</c:v>
                </c:pt>
                <c:pt idx="37">
                  <c:v>1636.36</c:v>
                </c:pt>
                <c:pt idx="38">
                  <c:v>1626.73</c:v>
                </c:pt>
                <c:pt idx="39">
                  <c:v>1639.04</c:v>
                </c:pt>
                <c:pt idx="40">
                  <c:v>1651.81</c:v>
                </c:pt>
                <c:pt idx="41">
                  <c:v>1628.93</c:v>
                </c:pt>
                <c:pt idx="42">
                  <c:v>1588.19</c:v>
                </c:pt>
                <c:pt idx="43">
                  <c:v>1592.43</c:v>
                </c:pt>
                <c:pt idx="44">
                  <c:v>1573.09</c:v>
                </c:pt>
                <c:pt idx="45">
                  <c:v>1588.03</c:v>
                </c:pt>
                <c:pt idx="46">
                  <c:v>1603.26</c:v>
                </c:pt>
                <c:pt idx="47">
                  <c:v>1613.2</c:v>
                </c:pt>
                <c:pt idx="48">
                  <c:v>1606.28</c:v>
                </c:pt>
                <c:pt idx="49">
                  <c:v>1614.96</c:v>
                </c:pt>
                <c:pt idx="50">
                  <c:v>1614.08</c:v>
                </c:pt>
                <c:pt idx="51">
                  <c:v>1615.41</c:v>
                </c:pt>
                <c:pt idx="52">
                  <c:v>1631.89</c:v>
                </c:pt>
                <c:pt idx="53">
                  <c:v>1640.46</c:v>
                </c:pt>
                <c:pt idx="54">
                  <c:v>1652.32</c:v>
                </c:pt>
                <c:pt idx="55">
                  <c:v>1652.62</c:v>
                </c:pt>
                <c:pt idx="56">
                  <c:v>1675.02</c:v>
                </c:pt>
                <c:pt idx="57">
                  <c:v>1680.19</c:v>
                </c:pt>
                <c:pt idx="58">
                  <c:v>1682.5</c:v>
                </c:pt>
                <c:pt idx="59">
                  <c:v>1676.26</c:v>
                </c:pt>
                <c:pt idx="60">
                  <c:v>1680.91</c:v>
                </c:pt>
                <c:pt idx="61">
                  <c:v>1689.37</c:v>
                </c:pt>
                <c:pt idx="62">
                  <c:v>1692.09</c:v>
                </c:pt>
                <c:pt idx="63">
                  <c:v>1695.53</c:v>
                </c:pt>
                <c:pt idx="64">
                  <c:v>1692.39</c:v>
                </c:pt>
                <c:pt idx="65">
                  <c:v>1685.94</c:v>
                </c:pt>
                <c:pt idx="66">
                  <c:v>1690.25</c:v>
                </c:pt>
                <c:pt idx="67">
                  <c:v>1691.65</c:v>
                </c:pt>
                <c:pt idx="68">
                  <c:v>1685.33</c:v>
                </c:pt>
                <c:pt idx="69">
                  <c:v>1685.96</c:v>
                </c:pt>
                <c:pt idx="70">
                  <c:v>1685.73</c:v>
                </c:pt>
                <c:pt idx="71">
                  <c:v>1706.87</c:v>
                </c:pt>
                <c:pt idx="72">
                  <c:v>1709.67</c:v>
                </c:pt>
                <c:pt idx="73">
                  <c:v>1707.14</c:v>
                </c:pt>
                <c:pt idx="74">
                  <c:v>1697.37</c:v>
                </c:pt>
                <c:pt idx="75">
                  <c:v>1690.91</c:v>
                </c:pt>
                <c:pt idx="76">
                  <c:v>1697.48</c:v>
                </c:pt>
                <c:pt idx="77">
                  <c:v>1691.42</c:v>
                </c:pt>
                <c:pt idx="78">
                  <c:v>1689.47</c:v>
                </c:pt>
                <c:pt idx="79">
                  <c:v>1694.16</c:v>
                </c:pt>
                <c:pt idx="80">
                  <c:v>1685.39</c:v>
                </c:pt>
                <c:pt idx="81">
                  <c:v>1661.32</c:v>
                </c:pt>
                <c:pt idx="82">
                  <c:v>1655.83</c:v>
                </c:pt>
                <c:pt idx="83">
                  <c:v>1646.06</c:v>
                </c:pt>
                <c:pt idx="84">
                  <c:v>1652.35</c:v>
                </c:pt>
                <c:pt idx="85">
                  <c:v>1642.8</c:v>
                </c:pt>
                <c:pt idx="86">
                  <c:v>1656.96</c:v>
                </c:pt>
                <c:pt idx="87">
                  <c:v>1663.5</c:v>
                </c:pt>
                <c:pt idx="88">
                  <c:v>1656.78</c:v>
                </c:pt>
                <c:pt idx="89">
                  <c:v>1630.48</c:v>
                </c:pt>
                <c:pt idx="90">
                  <c:v>1634.96</c:v>
                </c:pt>
                <c:pt idx="91">
                  <c:v>1638.17</c:v>
                </c:pt>
                <c:pt idx="92">
                  <c:v>1632.97</c:v>
                </c:pt>
                <c:pt idx="93">
                  <c:v>1639.77</c:v>
                </c:pt>
                <c:pt idx="94">
                  <c:v>1653.08</c:v>
                </c:pt>
                <c:pt idx="95">
                  <c:v>1655.08</c:v>
                </c:pt>
                <c:pt idx="96">
                  <c:v>1655.17</c:v>
                </c:pt>
                <c:pt idx="97">
                  <c:v>1671.71</c:v>
                </c:pt>
                <c:pt idx="98">
                  <c:v>1683.99</c:v>
                </c:pt>
                <c:pt idx="99">
                  <c:v>1689.13</c:v>
                </c:pt>
                <c:pt idx="100">
                  <c:v>1683.42</c:v>
                </c:pt>
                <c:pt idx="101">
                  <c:v>1687.99</c:v>
                </c:pt>
                <c:pt idx="102">
                  <c:v>1697.6</c:v>
                </c:pt>
                <c:pt idx="103">
                  <c:v>1704.76</c:v>
                </c:pt>
                <c:pt idx="104">
                  <c:v>1725.52</c:v>
                </c:pt>
                <c:pt idx="105">
                  <c:v>1722.34</c:v>
                </c:pt>
                <c:pt idx="106">
                  <c:v>1709.91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0096"/>
        <c:axId val="49057792"/>
      </c:lineChart>
      <c:catAx>
        <c:axId val="160732288"/>
        <c:scaling>
          <c:orientation val="minMax"/>
        </c:scaling>
        <c:delete val="0"/>
        <c:axPos val="b"/>
        <c:majorTickMark val="none"/>
        <c:minorTickMark val="none"/>
        <c:tickLblPos val="nextTo"/>
        <c:crossAx val="86786816"/>
        <c:crosses val="autoZero"/>
        <c:auto val="1"/>
        <c:lblAlgn val="ctr"/>
        <c:lblOffset val="100"/>
        <c:noMultiLvlLbl val="0"/>
      </c:catAx>
      <c:valAx>
        <c:axId val="86786816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%K, %D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0732288"/>
        <c:crosses val="autoZero"/>
        <c:crossBetween val="between"/>
      </c:valAx>
      <c:valAx>
        <c:axId val="49057792"/>
        <c:scaling>
          <c:orientation val="minMax"/>
          <c:max val="1725.52"/>
          <c:min val="1562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Close Price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060096"/>
        <c:crosses val="max"/>
        <c:crossBetween val="between"/>
      </c:valAx>
      <c:catAx>
        <c:axId val="49060096"/>
        <c:scaling>
          <c:orientation val="minMax"/>
        </c:scaling>
        <c:delete val="1"/>
        <c:axPos val="b"/>
        <c:majorTickMark val="out"/>
        <c:minorTickMark val="none"/>
        <c:tickLblPos val="nextTo"/>
        <c:crossAx val="49057792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6</xdr:row>
          <xdr:rowOff>38100</xdr:rowOff>
        </xdr:from>
        <xdr:to>
          <xdr:col>5</xdr:col>
          <xdr:colOff>457200</xdr:colOff>
          <xdr:row>9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Get Data from Yahoo and Plot Stochastic Oscillator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352425</xdr:colOff>
      <xdr:row>2</xdr:row>
      <xdr:rowOff>85725</xdr:rowOff>
    </xdr:from>
    <xdr:to>
      <xdr:col>5</xdr:col>
      <xdr:colOff>190500</xdr:colOff>
      <xdr:row>5</xdr:row>
      <xdr:rowOff>66675</xdr:rowOff>
    </xdr:to>
    <xdr:pic>
      <xdr:nvPicPr>
        <xdr:cNvPr id="16" name="Picture 15" descr="http://investexcel.net/wp-content/uploads/2011/10/InvestExcel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657225"/>
          <a:ext cx="1019175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10</xdr:col>
      <xdr:colOff>63500</xdr:colOff>
      <xdr:row>30</xdr:row>
      <xdr:rowOff>0</xdr:rowOff>
    </xdr:to>
    <xdr:graphicFrame macro="">
      <xdr:nvGraphicFramePr>
        <xdr:cNvPr id="4" name="Stochastic Oscillator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86" connectionId="8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85" connectionId="8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84" connectionId="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59" connectionId="5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40" connectionId="3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71" connectionId="6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43" connectionId="3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26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31" connectionId="2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78" connectionId="7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83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1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8" connectionId="1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63" connectionId="6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5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8" connectionId="6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6" connectionId="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73" connectionId="7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36" connectionId="3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55" connectionId="5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2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21" connectionId="1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72" connectionId="7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45" connectionId="4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57" connectionId="5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81" connectionId="8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66" connectionId="6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52" connectionId="4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74" connectionId="7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29" connectionId="2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50" connectionId="4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4" connectionId="2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41" connectionId="3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53" connectionId="4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14" connectionId="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17" connectionId="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62" connectionId="5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68" connectionId="6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6" connectionId="4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49" connectionId="4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80" connectionId="7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38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42" connectionId="3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34" connectionId="2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46" connectionId="4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32" connectionId="2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58" connectionId="5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24" connectionId="1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3" connectionId="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30" connectionId="2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67" connectionId="6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79" connectionId="7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35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44" connectionId="3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23" connectionId="1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28" connectionId="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75" connectionId="7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70" connectionId="6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12" connectionId="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76" connectionId="7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3" connectionId="1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19" connectionId="1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47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33" connectionId="2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56" connectionId="5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82" connectionId="8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10" connectionId="8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77" connectionId="7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39" connectionId="3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51" connectionId="4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69" connectionId="6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27" connectionId="2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48" connectionId="4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65" connectionId="6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54" connectionId="5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37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25" connectionId="1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64" connectionId="6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61" connectionId="5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22" connectionId="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investexcel.ne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76" Type="http://schemas.openxmlformats.org/officeDocument/2006/relationships/queryTable" Target="../queryTables/queryTable76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9" Type="http://schemas.openxmlformats.org/officeDocument/2006/relationships/queryTable" Target="../queryTables/queryTable29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66" Type="http://schemas.openxmlformats.org/officeDocument/2006/relationships/queryTable" Target="../queryTables/queryTable66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5" Type="http://schemas.openxmlformats.org/officeDocument/2006/relationships/queryTable" Target="../queryTables/queryTable5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77" Type="http://schemas.openxmlformats.org/officeDocument/2006/relationships/queryTable" Target="../queryTables/queryTable77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80" Type="http://schemas.openxmlformats.org/officeDocument/2006/relationships/queryTable" Target="../queryTables/queryTable80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0"/>
  <sheetViews>
    <sheetView showGridLines="0" tabSelected="1" workbookViewId="0">
      <selection activeCell="I3" sqref="I3"/>
    </sheetView>
  </sheetViews>
  <sheetFormatPr defaultRowHeight="15"/>
  <cols>
    <col min="1" max="1" width="17.28515625" customWidth="1"/>
    <col min="2" max="2" width="11.85546875" customWidth="1"/>
    <col min="3" max="3" width="1.7109375" customWidth="1"/>
    <col min="4" max="4" width="8.5703125" customWidth="1"/>
    <col min="10" max="10" width="9.140625" style="2"/>
  </cols>
  <sheetData>
    <row r="1" spans="1:10" ht="30">
      <c r="A1" s="1" t="s">
        <v>14</v>
      </c>
    </row>
    <row r="2" spans="1:10">
      <c r="A2" s="3" t="s">
        <v>12</v>
      </c>
    </row>
    <row r="3" spans="1:10" ht="15.75" thickBot="1"/>
    <row r="4" spans="1:10">
      <c r="A4" s="4" t="s">
        <v>9</v>
      </c>
      <c r="B4" s="5"/>
    </row>
    <row r="5" spans="1:10">
      <c r="A5" s="6" t="s">
        <v>10</v>
      </c>
      <c r="B5" s="8" t="s">
        <v>20</v>
      </c>
    </row>
    <row r="6" spans="1:10">
      <c r="A6" s="6" t="s">
        <v>11</v>
      </c>
      <c r="B6" s="9">
        <v>41384</v>
      </c>
    </row>
    <row r="7" spans="1:10">
      <c r="A7" s="6" t="s">
        <v>0</v>
      </c>
      <c r="B7" s="9">
        <v>41539</v>
      </c>
    </row>
    <row r="8" spans="1:10">
      <c r="A8" s="6" t="s">
        <v>13</v>
      </c>
      <c r="B8" s="10">
        <v>14</v>
      </c>
    </row>
    <row r="9" spans="1:10" ht="15.75" thickBot="1">
      <c r="A9" s="7" t="s">
        <v>18</v>
      </c>
      <c r="B9" s="11">
        <v>3</v>
      </c>
    </row>
    <row r="10" spans="1:10">
      <c r="C10" s="2"/>
      <c r="J10"/>
    </row>
    <row r="11" spans="1:10">
      <c r="C11" s="2"/>
      <c r="J11"/>
    </row>
    <row r="12" spans="1:10">
      <c r="C12" s="2"/>
      <c r="J12"/>
    </row>
    <row r="13" spans="1:10">
      <c r="C13" s="2"/>
      <c r="J13"/>
    </row>
    <row r="14" spans="1:10">
      <c r="C14" s="2"/>
      <c r="J14"/>
    </row>
    <row r="15" spans="1:10">
      <c r="C15" s="2"/>
      <c r="J15"/>
    </row>
    <row r="16" spans="1:10">
      <c r="C16" s="2"/>
      <c r="J16"/>
    </row>
    <row r="17" spans="3:10">
      <c r="C17" s="2"/>
      <c r="J17"/>
    </row>
    <row r="18" spans="3:10">
      <c r="C18" s="2"/>
      <c r="J18"/>
    </row>
    <row r="19" spans="3:10">
      <c r="C19" s="2"/>
      <c r="J19"/>
    </row>
    <row r="20" spans="3:10">
      <c r="C20" s="2"/>
      <c r="J20"/>
    </row>
  </sheetData>
  <hyperlinks>
    <hyperlink ref="A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lling">
                <anchor moveWithCells="1">
                  <from>
                    <xdr:col>2</xdr:col>
                    <xdr:colOff>104775</xdr:colOff>
                    <xdr:row>6</xdr:row>
                    <xdr:rowOff>38100</xdr:rowOff>
                  </from>
                  <to>
                    <xdr:col>5</xdr:col>
                    <xdr:colOff>457200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09"/>
  <sheetViews>
    <sheetView workbookViewId="0">
      <selection activeCell="A2" sqref="A2:G108"/>
    </sheetView>
  </sheetViews>
  <sheetFormatPr defaultRowHeight="15"/>
  <cols>
    <col min="1" max="7" width="12.7109375" customWidth="1"/>
    <col min="8" max="8" width="12.140625" bestFit="1" customWidth="1"/>
    <col min="9" max="9" width="11.28515625" bestFit="1" customWidth="1"/>
    <col min="10" max="11" width="12" bestFit="1" customWidth="1"/>
    <col min="12" max="12" width="11.5703125" customWidth="1"/>
  </cols>
  <sheetData>
    <row r="1" spans="1:1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15</v>
      </c>
      <c r="I1" t="s">
        <v>16</v>
      </c>
      <c r="J1" t="s">
        <v>17</v>
      </c>
      <c r="K1" t="s">
        <v>19</v>
      </c>
    </row>
    <row r="2" spans="1:11">
      <c r="A2" s="12">
        <v>41386</v>
      </c>
      <c r="B2">
        <v>1555.25</v>
      </c>
      <c r="C2">
        <v>1565.55</v>
      </c>
      <c r="D2">
        <v>1548.19</v>
      </c>
      <c r="E2">
        <v>1562.5</v>
      </c>
      <c r="F2">
        <v>2979880000</v>
      </c>
      <c r="G2">
        <v>1562.5</v>
      </c>
    </row>
    <row r="3" spans="1:11">
      <c r="A3" s="12">
        <v>41387</v>
      </c>
      <c r="B3">
        <v>1562.5</v>
      </c>
      <c r="C3">
        <v>1579.58</v>
      </c>
      <c r="D3">
        <v>1562.5</v>
      </c>
      <c r="E3">
        <v>1578.78</v>
      </c>
      <c r="F3">
        <v>3565150000</v>
      </c>
      <c r="G3">
        <v>1578.78</v>
      </c>
    </row>
    <row r="4" spans="1:11">
      <c r="A4" s="12">
        <v>41388</v>
      </c>
      <c r="B4">
        <v>1578.78</v>
      </c>
      <c r="C4">
        <v>1583</v>
      </c>
      <c r="D4">
        <v>1575.8</v>
      </c>
      <c r="E4">
        <v>1578.79</v>
      </c>
      <c r="F4">
        <v>3598240000</v>
      </c>
      <c r="G4">
        <v>1578.79</v>
      </c>
    </row>
    <row r="5" spans="1:11">
      <c r="A5" s="12">
        <v>41389</v>
      </c>
      <c r="B5">
        <v>1578.93</v>
      </c>
      <c r="C5">
        <v>1592.64</v>
      </c>
      <c r="D5">
        <v>1578.93</v>
      </c>
      <c r="E5">
        <v>1585.16</v>
      </c>
      <c r="F5">
        <v>3908580000</v>
      </c>
      <c r="G5">
        <v>1585.16</v>
      </c>
    </row>
    <row r="6" spans="1:11">
      <c r="A6" s="12">
        <v>41390</v>
      </c>
      <c r="B6">
        <v>1585.16</v>
      </c>
      <c r="C6">
        <v>1585.78</v>
      </c>
      <c r="D6">
        <v>1577.56</v>
      </c>
      <c r="E6">
        <v>1582.24</v>
      </c>
      <c r="F6">
        <v>3198620000</v>
      </c>
      <c r="G6">
        <v>1582.24</v>
      </c>
    </row>
    <row r="7" spans="1:11">
      <c r="A7" s="12">
        <v>41393</v>
      </c>
      <c r="B7">
        <v>1582.34</v>
      </c>
      <c r="C7">
        <v>1596.65</v>
      </c>
      <c r="D7">
        <v>1582.34</v>
      </c>
      <c r="E7">
        <v>1593.61</v>
      </c>
      <c r="F7">
        <v>2891200000</v>
      </c>
      <c r="G7">
        <v>1593.61</v>
      </c>
    </row>
    <row r="8" spans="1:11">
      <c r="A8" s="12">
        <v>41394</v>
      </c>
      <c r="B8">
        <v>1593.58</v>
      </c>
      <c r="C8">
        <v>1597.57</v>
      </c>
      <c r="D8">
        <v>1586.5</v>
      </c>
      <c r="E8">
        <v>1597.57</v>
      </c>
      <c r="F8">
        <v>3745070000</v>
      </c>
      <c r="G8">
        <v>1597.57</v>
      </c>
    </row>
    <row r="9" spans="1:11">
      <c r="A9" s="12">
        <v>41395</v>
      </c>
      <c r="B9">
        <v>1597.55</v>
      </c>
      <c r="C9">
        <v>1597.55</v>
      </c>
      <c r="D9">
        <v>1581.28</v>
      </c>
      <c r="E9">
        <v>1582.7</v>
      </c>
      <c r="F9">
        <v>3530320000</v>
      </c>
      <c r="G9">
        <v>1582.7</v>
      </c>
    </row>
    <row r="10" spans="1:11">
      <c r="A10" s="12">
        <v>41396</v>
      </c>
      <c r="B10">
        <v>1582.77</v>
      </c>
      <c r="C10">
        <v>1598.6</v>
      </c>
      <c r="D10">
        <v>1582.77</v>
      </c>
      <c r="E10">
        <v>1597.59</v>
      </c>
      <c r="F10">
        <v>3366950000</v>
      </c>
      <c r="G10">
        <v>1597.59</v>
      </c>
    </row>
    <row r="11" spans="1:11">
      <c r="A11" s="12">
        <v>41397</v>
      </c>
      <c r="B11">
        <v>1597.6</v>
      </c>
      <c r="C11">
        <v>1618.46</v>
      </c>
      <c r="D11">
        <v>1597.6</v>
      </c>
      <c r="E11">
        <v>1614.42</v>
      </c>
      <c r="F11">
        <v>3603910000</v>
      </c>
      <c r="G11">
        <v>1614.42</v>
      </c>
    </row>
    <row r="12" spans="1:11">
      <c r="A12" s="12">
        <v>41400</v>
      </c>
      <c r="B12">
        <v>1614.4</v>
      </c>
      <c r="C12">
        <v>1619.77</v>
      </c>
      <c r="D12">
        <v>1614.21</v>
      </c>
      <c r="E12">
        <v>1617.5</v>
      </c>
      <c r="F12">
        <v>3062240000</v>
      </c>
      <c r="G12">
        <v>1617.5</v>
      </c>
    </row>
    <row r="13" spans="1:11">
      <c r="A13" s="12">
        <v>41401</v>
      </c>
      <c r="B13">
        <v>1617.55</v>
      </c>
      <c r="C13">
        <v>1626.03</v>
      </c>
      <c r="D13">
        <v>1616.64</v>
      </c>
      <c r="E13">
        <v>1625.96</v>
      </c>
      <c r="F13">
        <v>3309580000</v>
      </c>
      <c r="G13">
        <v>1625.96</v>
      </c>
    </row>
    <row r="14" spans="1:11">
      <c r="A14" s="12">
        <v>41402</v>
      </c>
      <c r="B14">
        <v>1625.95</v>
      </c>
      <c r="C14">
        <v>1632.78</v>
      </c>
      <c r="D14">
        <v>1622.7</v>
      </c>
      <c r="E14">
        <v>1632.69</v>
      </c>
      <c r="F14">
        <v>3554700000</v>
      </c>
      <c r="G14">
        <v>1632.69</v>
      </c>
    </row>
    <row r="15" spans="1:11">
      <c r="A15" s="12">
        <v>41403</v>
      </c>
      <c r="B15">
        <v>1632.69</v>
      </c>
      <c r="C15">
        <v>1635.01</v>
      </c>
      <c r="D15">
        <v>1623.09</v>
      </c>
      <c r="E15">
        <v>1626.67</v>
      </c>
      <c r="F15">
        <v>3457400000</v>
      </c>
      <c r="G15">
        <v>1626.67</v>
      </c>
      <c r="H15">
        <f t="shared" ref="H15:H46" si="0">MAX(C2:C15)</f>
        <v>1635.01</v>
      </c>
      <c r="I15">
        <f t="shared" ref="I15:I46" si="1">MIN(D2:D15)</f>
        <v>1548.19</v>
      </c>
      <c r="J15">
        <f t="shared" ref="J15:J46" si="2">(E15 - I15) / (H15 - I15) * 100</f>
        <v>90.393918451969682</v>
      </c>
    </row>
    <row r="16" spans="1:11">
      <c r="A16" s="12">
        <v>41404</v>
      </c>
      <c r="B16">
        <v>1626.69</v>
      </c>
      <c r="C16">
        <v>1633.7</v>
      </c>
      <c r="D16">
        <v>1623.71</v>
      </c>
      <c r="E16">
        <v>1633.7</v>
      </c>
      <c r="F16">
        <v>3086470000</v>
      </c>
      <c r="G16">
        <v>1633.7</v>
      </c>
      <c r="H16">
        <f t="shared" si="0"/>
        <v>1635.01</v>
      </c>
      <c r="I16">
        <f t="shared" si="1"/>
        <v>1562.5</v>
      </c>
      <c r="J16">
        <f t="shared" si="2"/>
        <v>98.19335264101511</v>
      </c>
    </row>
    <row r="17" spans="1:11">
      <c r="A17" s="12">
        <v>41407</v>
      </c>
      <c r="B17">
        <v>1632.1</v>
      </c>
      <c r="C17">
        <v>1636</v>
      </c>
      <c r="D17">
        <v>1626.74</v>
      </c>
      <c r="E17">
        <v>1633.77</v>
      </c>
      <c r="F17">
        <v>2910600000</v>
      </c>
      <c r="G17">
        <v>1633.77</v>
      </c>
      <c r="H17">
        <f t="shared" si="0"/>
        <v>1636</v>
      </c>
      <c r="I17">
        <f t="shared" si="1"/>
        <v>1575.8</v>
      </c>
      <c r="J17">
        <f t="shared" si="2"/>
        <v>96.295681063122899</v>
      </c>
      <c r="K17">
        <f t="shared" ref="K17:K48" si="3">AVERAGE(J15:J17)</f>
        <v>94.960984052035897</v>
      </c>
    </row>
    <row r="18" spans="1:11">
      <c r="A18" s="12">
        <v>41408</v>
      </c>
      <c r="B18">
        <v>1633.75</v>
      </c>
      <c r="C18">
        <v>1651.1</v>
      </c>
      <c r="D18">
        <v>1633.75</v>
      </c>
      <c r="E18">
        <v>1650.34</v>
      </c>
      <c r="F18">
        <v>3457790000</v>
      </c>
      <c r="G18">
        <v>1650.34</v>
      </c>
      <c r="H18">
        <f t="shared" si="0"/>
        <v>1651.1</v>
      </c>
      <c r="I18">
        <f t="shared" si="1"/>
        <v>1577.56</v>
      </c>
      <c r="J18">
        <f t="shared" si="2"/>
        <v>98.966548816970374</v>
      </c>
      <c r="K18">
        <f t="shared" si="3"/>
        <v>97.818527507036137</v>
      </c>
    </row>
    <row r="19" spans="1:11">
      <c r="A19" s="12">
        <v>41409</v>
      </c>
      <c r="B19">
        <v>1649.13</v>
      </c>
      <c r="C19">
        <v>1661.49</v>
      </c>
      <c r="D19">
        <v>1646.68</v>
      </c>
      <c r="E19">
        <v>1658.78</v>
      </c>
      <c r="F19">
        <v>3657440000</v>
      </c>
      <c r="G19">
        <v>1658.78</v>
      </c>
      <c r="H19">
        <f t="shared" si="0"/>
        <v>1661.49</v>
      </c>
      <c r="I19">
        <f t="shared" si="1"/>
        <v>1577.56</v>
      </c>
      <c r="J19">
        <f t="shared" si="2"/>
        <v>96.771118789467366</v>
      </c>
      <c r="K19">
        <f t="shared" si="3"/>
        <v>97.344449556520217</v>
      </c>
    </row>
    <row r="20" spans="1:11">
      <c r="A20" s="12">
        <v>41410</v>
      </c>
      <c r="B20">
        <v>1658.07</v>
      </c>
      <c r="C20">
        <v>1660.51</v>
      </c>
      <c r="D20">
        <v>1648.6</v>
      </c>
      <c r="E20">
        <v>1650.47</v>
      </c>
      <c r="F20">
        <v>3513130000</v>
      </c>
      <c r="G20">
        <v>1650.47</v>
      </c>
      <c r="H20">
        <f t="shared" si="0"/>
        <v>1661.49</v>
      </c>
      <c r="I20">
        <f t="shared" si="1"/>
        <v>1581.28</v>
      </c>
      <c r="J20">
        <f t="shared" si="2"/>
        <v>86.26106470514901</v>
      </c>
      <c r="K20">
        <f t="shared" si="3"/>
        <v>93.999577437195583</v>
      </c>
    </row>
    <row r="21" spans="1:11">
      <c r="A21" s="12">
        <v>41411</v>
      </c>
      <c r="B21">
        <v>1652.45</v>
      </c>
      <c r="C21">
        <v>1667.47</v>
      </c>
      <c r="D21">
        <v>1652.45</v>
      </c>
      <c r="E21">
        <v>1667.47</v>
      </c>
      <c r="F21">
        <v>3440710000</v>
      </c>
      <c r="G21">
        <v>1667.47</v>
      </c>
      <c r="H21">
        <f t="shared" si="0"/>
        <v>1667.47</v>
      </c>
      <c r="I21">
        <f t="shared" si="1"/>
        <v>1581.28</v>
      </c>
      <c r="J21">
        <f t="shared" si="2"/>
        <v>100</v>
      </c>
      <c r="K21">
        <f t="shared" si="3"/>
        <v>94.34406116487213</v>
      </c>
    </row>
    <row r="22" spans="1:11">
      <c r="A22" s="12">
        <v>41414</v>
      </c>
      <c r="B22">
        <v>1665.71</v>
      </c>
      <c r="C22">
        <v>1672.84</v>
      </c>
      <c r="D22">
        <v>1663.52</v>
      </c>
      <c r="E22">
        <v>1666.29</v>
      </c>
      <c r="F22">
        <v>3275080000</v>
      </c>
      <c r="G22">
        <v>1666.29</v>
      </c>
      <c r="H22">
        <f t="shared" si="0"/>
        <v>1672.84</v>
      </c>
      <c r="I22">
        <f t="shared" si="1"/>
        <v>1581.28</v>
      </c>
      <c r="J22">
        <f t="shared" si="2"/>
        <v>92.846221057230267</v>
      </c>
      <c r="K22">
        <f t="shared" si="3"/>
        <v>93.035761920793092</v>
      </c>
    </row>
    <row r="23" spans="1:11">
      <c r="A23" s="12">
        <v>41415</v>
      </c>
      <c r="B23">
        <v>1666.2</v>
      </c>
      <c r="C23">
        <v>1674.93</v>
      </c>
      <c r="D23">
        <v>1662.67</v>
      </c>
      <c r="E23">
        <v>1669.16</v>
      </c>
      <c r="F23">
        <v>3513560000</v>
      </c>
      <c r="G23">
        <v>1669.16</v>
      </c>
      <c r="H23">
        <f t="shared" si="0"/>
        <v>1674.93</v>
      </c>
      <c r="I23">
        <f t="shared" si="1"/>
        <v>1582.77</v>
      </c>
      <c r="J23">
        <f t="shared" si="2"/>
        <v>93.739149305555586</v>
      </c>
      <c r="K23">
        <f t="shared" si="3"/>
        <v>95.528456787595289</v>
      </c>
    </row>
    <row r="24" spans="1:11">
      <c r="A24" s="12">
        <v>41416</v>
      </c>
      <c r="B24">
        <v>1669.39</v>
      </c>
      <c r="C24">
        <v>1687.18</v>
      </c>
      <c r="D24">
        <v>1648.86</v>
      </c>
      <c r="E24">
        <v>1655.35</v>
      </c>
      <c r="F24">
        <v>4361020000</v>
      </c>
      <c r="G24">
        <v>1655.35</v>
      </c>
      <c r="H24">
        <f t="shared" si="0"/>
        <v>1687.18</v>
      </c>
      <c r="I24">
        <f t="shared" si="1"/>
        <v>1597.6</v>
      </c>
      <c r="J24">
        <f t="shared" si="2"/>
        <v>64.467515070328091</v>
      </c>
      <c r="K24">
        <f t="shared" si="3"/>
        <v>83.684295144371319</v>
      </c>
    </row>
    <row r="25" spans="1:11">
      <c r="A25" s="12">
        <v>41417</v>
      </c>
      <c r="B25">
        <v>1651.62</v>
      </c>
      <c r="C25">
        <v>1655.5</v>
      </c>
      <c r="D25">
        <v>1635.53</v>
      </c>
      <c r="E25">
        <v>1650.51</v>
      </c>
      <c r="F25">
        <v>3945510000</v>
      </c>
      <c r="G25">
        <v>1650.51</v>
      </c>
      <c r="H25">
        <f t="shared" si="0"/>
        <v>1687.18</v>
      </c>
      <c r="I25">
        <f t="shared" si="1"/>
        <v>1614.21</v>
      </c>
      <c r="J25">
        <f t="shared" si="2"/>
        <v>49.746471152528358</v>
      </c>
      <c r="K25">
        <f t="shared" si="3"/>
        <v>69.317711842804016</v>
      </c>
    </row>
    <row r="26" spans="1:11">
      <c r="A26" s="12">
        <v>41418</v>
      </c>
      <c r="B26">
        <v>1646.67</v>
      </c>
      <c r="C26">
        <v>1649.78</v>
      </c>
      <c r="D26">
        <v>1636.88</v>
      </c>
      <c r="E26">
        <v>1649.6</v>
      </c>
      <c r="F26">
        <v>2758080000</v>
      </c>
      <c r="G26">
        <v>1649.6</v>
      </c>
      <c r="H26">
        <f t="shared" si="0"/>
        <v>1687.18</v>
      </c>
      <c r="I26">
        <f t="shared" si="1"/>
        <v>1616.64</v>
      </c>
      <c r="J26">
        <f t="shared" si="2"/>
        <v>46.725262262545826</v>
      </c>
      <c r="K26">
        <f t="shared" si="3"/>
        <v>53.646416161800765</v>
      </c>
    </row>
    <row r="27" spans="1:11">
      <c r="A27" s="12">
        <v>41422</v>
      </c>
      <c r="B27">
        <v>1652.63</v>
      </c>
      <c r="C27">
        <v>1674.21</v>
      </c>
      <c r="D27">
        <v>1652.63</v>
      </c>
      <c r="E27">
        <v>1660.06</v>
      </c>
      <c r="F27">
        <v>3457400000</v>
      </c>
      <c r="G27">
        <v>1660.06</v>
      </c>
      <c r="H27">
        <f t="shared" si="0"/>
        <v>1687.18</v>
      </c>
      <c r="I27">
        <f t="shared" si="1"/>
        <v>1622.7</v>
      </c>
      <c r="J27">
        <f t="shared" si="2"/>
        <v>57.940446650123903</v>
      </c>
      <c r="K27">
        <f t="shared" si="3"/>
        <v>51.47072668839936</v>
      </c>
    </row>
    <row r="28" spans="1:11">
      <c r="A28" s="12">
        <v>41423</v>
      </c>
      <c r="B28">
        <v>1656.57</v>
      </c>
      <c r="C28">
        <v>1656.57</v>
      </c>
      <c r="D28">
        <v>1640.05</v>
      </c>
      <c r="E28">
        <v>1648.36</v>
      </c>
      <c r="F28">
        <v>3587140000</v>
      </c>
      <c r="G28">
        <v>1648.36</v>
      </c>
      <c r="H28">
        <f t="shared" si="0"/>
        <v>1687.18</v>
      </c>
      <c r="I28">
        <f t="shared" si="1"/>
        <v>1623.09</v>
      </c>
      <c r="J28">
        <f t="shared" si="2"/>
        <v>39.42892806990158</v>
      </c>
      <c r="K28">
        <f t="shared" si="3"/>
        <v>48.031545660857098</v>
      </c>
    </row>
    <row r="29" spans="1:11">
      <c r="A29" s="12">
        <v>41424</v>
      </c>
      <c r="B29">
        <v>1649.14</v>
      </c>
      <c r="C29">
        <v>1661.91</v>
      </c>
      <c r="D29">
        <v>1648.61</v>
      </c>
      <c r="E29">
        <v>1654.41</v>
      </c>
      <c r="F29">
        <v>3498620000</v>
      </c>
      <c r="G29">
        <v>1654.41</v>
      </c>
      <c r="H29">
        <f t="shared" si="0"/>
        <v>1687.18</v>
      </c>
      <c r="I29">
        <f t="shared" si="1"/>
        <v>1623.71</v>
      </c>
      <c r="J29">
        <f t="shared" si="2"/>
        <v>48.369308334646341</v>
      </c>
      <c r="K29">
        <f t="shared" si="3"/>
        <v>48.579561018223949</v>
      </c>
    </row>
    <row r="30" spans="1:11">
      <c r="A30" s="12">
        <v>41425</v>
      </c>
      <c r="B30">
        <v>1652.13</v>
      </c>
      <c r="C30">
        <v>1658.99</v>
      </c>
      <c r="D30">
        <v>1630.74</v>
      </c>
      <c r="E30">
        <v>1630.74</v>
      </c>
      <c r="F30">
        <v>4099600000</v>
      </c>
      <c r="G30">
        <v>1630.74</v>
      </c>
      <c r="H30">
        <f t="shared" si="0"/>
        <v>1687.18</v>
      </c>
      <c r="I30">
        <f t="shared" si="1"/>
        <v>1626.74</v>
      </c>
      <c r="J30">
        <f t="shared" si="2"/>
        <v>6.6181336863004576</v>
      </c>
      <c r="K30">
        <f t="shared" si="3"/>
        <v>31.472123363616124</v>
      </c>
    </row>
    <row r="31" spans="1:11">
      <c r="A31" s="12">
        <v>41428</v>
      </c>
      <c r="B31">
        <v>1631.71</v>
      </c>
      <c r="C31">
        <v>1640.42</v>
      </c>
      <c r="D31">
        <v>1622.72</v>
      </c>
      <c r="E31">
        <v>1640.42</v>
      </c>
      <c r="F31">
        <v>3952070000</v>
      </c>
      <c r="G31">
        <v>1640.42</v>
      </c>
      <c r="H31">
        <f t="shared" si="0"/>
        <v>1687.18</v>
      </c>
      <c r="I31">
        <f t="shared" si="1"/>
        <v>1622.72</v>
      </c>
      <c r="J31">
        <f t="shared" si="2"/>
        <v>27.458889233633315</v>
      </c>
      <c r="K31">
        <f t="shared" si="3"/>
        <v>27.482110418193372</v>
      </c>
    </row>
    <row r="32" spans="1:11">
      <c r="A32" s="12">
        <v>41429</v>
      </c>
      <c r="B32">
        <v>1640.73</v>
      </c>
      <c r="C32">
        <v>1646.53</v>
      </c>
      <c r="D32">
        <v>1623.62</v>
      </c>
      <c r="E32">
        <v>1631.38</v>
      </c>
      <c r="F32">
        <v>3653840000</v>
      </c>
      <c r="G32">
        <v>1631.38</v>
      </c>
      <c r="H32">
        <f t="shared" si="0"/>
        <v>1687.18</v>
      </c>
      <c r="I32">
        <f t="shared" si="1"/>
        <v>1622.72</v>
      </c>
      <c r="J32">
        <f t="shared" si="2"/>
        <v>13.4346881787156</v>
      </c>
      <c r="K32">
        <f t="shared" si="3"/>
        <v>15.837237032883124</v>
      </c>
    </row>
    <row r="33" spans="1:11">
      <c r="A33" s="12">
        <v>41430</v>
      </c>
      <c r="B33">
        <v>1629.05</v>
      </c>
      <c r="C33">
        <v>1629.31</v>
      </c>
      <c r="D33">
        <v>1607.09</v>
      </c>
      <c r="E33">
        <v>1608.9</v>
      </c>
      <c r="F33">
        <v>3632350000</v>
      </c>
      <c r="G33">
        <v>1608.9</v>
      </c>
      <c r="H33">
        <f t="shared" si="0"/>
        <v>1687.18</v>
      </c>
      <c r="I33">
        <f t="shared" si="1"/>
        <v>1607.09</v>
      </c>
      <c r="J33">
        <f t="shared" si="2"/>
        <v>2.2599575477589831</v>
      </c>
      <c r="K33">
        <f t="shared" si="3"/>
        <v>14.384511653369302</v>
      </c>
    </row>
    <row r="34" spans="1:11">
      <c r="A34" s="12">
        <v>41431</v>
      </c>
      <c r="B34">
        <v>1609.29</v>
      </c>
      <c r="C34">
        <v>1622.56</v>
      </c>
      <c r="D34">
        <v>1598.23</v>
      </c>
      <c r="E34">
        <v>1622.56</v>
      </c>
      <c r="F34">
        <v>3547380000</v>
      </c>
      <c r="G34">
        <v>1622.56</v>
      </c>
      <c r="H34">
        <f t="shared" si="0"/>
        <v>1687.18</v>
      </c>
      <c r="I34">
        <f t="shared" si="1"/>
        <v>1598.23</v>
      </c>
      <c r="J34">
        <f t="shared" si="2"/>
        <v>27.352445193929075</v>
      </c>
      <c r="K34">
        <f t="shared" si="3"/>
        <v>14.34903030680122</v>
      </c>
    </row>
    <row r="35" spans="1:11">
      <c r="A35" s="12">
        <v>41432</v>
      </c>
      <c r="B35">
        <v>1625.27</v>
      </c>
      <c r="C35">
        <v>1644.4</v>
      </c>
      <c r="D35">
        <v>1625.27</v>
      </c>
      <c r="E35">
        <v>1643.38</v>
      </c>
      <c r="F35">
        <v>3371990000</v>
      </c>
      <c r="G35">
        <v>1643.38</v>
      </c>
      <c r="H35">
        <f t="shared" si="0"/>
        <v>1687.18</v>
      </c>
      <c r="I35">
        <f t="shared" si="1"/>
        <v>1598.23</v>
      </c>
      <c r="J35">
        <f t="shared" si="2"/>
        <v>50.758853288364328</v>
      </c>
      <c r="K35">
        <f t="shared" si="3"/>
        <v>26.79041867668413</v>
      </c>
    </row>
    <row r="36" spans="1:11">
      <c r="A36" s="12">
        <v>41435</v>
      </c>
      <c r="B36">
        <v>1644.67</v>
      </c>
      <c r="C36">
        <v>1648.69</v>
      </c>
      <c r="D36">
        <v>1639.26</v>
      </c>
      <c r="E36">
        <v>1642.81</v>
      </c>
      <c r="F36">
        <v>2978730000</v>
      </c>
      <c r="G36">
        <v>1642.81</v>
      </c>
      <c r="H36">
        <f t="shared" si="0"/>
        <v>1687.18</v>
      </c>
      <c r="I36">
        <f t="shared" si="1"/>
        <v>1598.23</v>
      </c>
      <c r="J36">
        <f t="shared" si="2"/>
        <v>50.118043844856551</v>
      </c>
      <c r="K36">
        <f t="shared" si="3"/>
        <v>42.743114109049991</v>
      </c>
    </row>
    <row r="37" spans="1:11">
      <c r="A37" s="12">
        <v>41436</v>
      </c>
      <c r="B37">
        <v>1638.64</v>
      </c>
      <c r="C37">
        <v>1640.13</v>
      </c>
      <c r="D37">
        <v>1622.92</v>
      </c>
      <c r="E37">
        <v>1626.13</v>
      </c>
      <c r="F37">
        <v>3435710000</v>
      </c>
      <c r="G37">
        <v>1626.13</v>
      </c>
      <c r="H37">
        <f t="shared" si="0"/>
        <v>1687.18</v>
      </c>
      <c r="I37">
        <f t="shared" si="1"/>
        <v>1598.23</v>
      </c>
      <c r="J37">
        <f t="shared" si="2"/>
        <v>31.365935919055737</v>
      </c>
      <c r="K37">
        <f t="shared" si="3"/>
        <v>44.08094435075887</v>
      </c>
    </row>
    <row r="38" spans="1:11">
      <c r="A38" s="12">
        <v>41437</v>
      </c>
      <c r="B38">
        <v>1629.94</v>
      </c>
      <c r="C38">
        <v>1637.71</v>
      </c>
      <c r="D38">
        <v>1610.92</v>
      </c>
      <c r="E38">
        <v>1612.52</v>
      </c>
      <c r="F38">
        <v>3202550000</v>
      </c>
      <c r="G38">
        <v>1612.52</v>
      </c>
      <c r="H38">
        <f t="shared" si="0"/>
        <v>1674.21</v>
      </c>
      <c r="I38">
        <f t="shared" si="1"/>
        <v>1598.23</v>
      </c>
      <c r="J38">
        <f t="shared" si="2"/>
        <v>18.807580942353201</v>
      </c>
      <c r="K38">
        <f t="shared" si="3"/>
        <v>33.430520235421831</v>
      </c>
    </row>
    <row r="39" spans="1:11">
      <c r="A39" s="12">
        <v>41438</v>
      </c>
      <c r="B39">
        <v>1612.15</v>
      </c>
      <c r="C39">
        <v>1639.25</v>
      </c>
      <c r="D39">
        <v>1608.07</v>
      </c>
      <c r="E39">
        <v>1636.36</v>
      </c>
      <c r="F39">
        <v>3378620000</v>
      </c>
      <c r="G39">
        <v>1636.36</v>
      </c>
      <c r="H39">
        <f t="shared" si="0"/>
        <v>1674.21</v>
      </c>
      <c r="I39">
        <f t="shared" si="1"/>
        <v>1598.23</v>
      </c>
      <c r="J39">
        <f t="shared" si="2"/>
        <v>50.18425901553023</v>
      </c>
      <c r="K39">
        <f t="shared" si="3"/>
        <v>33.452591958979724</v>
      </c>
    </row>
    <row r="40" spans="1:11">
      <c r="A40" s="12">
        <v>41439</v>
      </c>
      <c r="B40">
        <v>1635.52</v>
      </c>
      <c r="C40">
        <v>1640.8</v>
      </c>
      <c r="D40">
        <v>1623.96</v>
      </c>
      <c r="E40">
        <v>1626.73</v>
      </c>
      <c r="F40">
        <v>2939400000</v>
      </c>
      <c r="G40">
        <v>1626.73</v>
      </c>
      <c r="H40">
        <f t="shared" si="0"/>
        <v>1674.21</v>
      </c>
      <c r="I40">
        <f t="shared" si="1"/>
        <v>1598.23</v>
      </c>
      <c r="J40">
        <f t="shared" si="2"/>
        <v>37.509871018689118</v>
      </c>
      <c r="K40">
        <f t="shared" si="3"/>
        <v>35.500570325524187</v>
      </c>
    </row>
    <row r="41" spans="1:11">
      <c r="A41" s="12">
        <v>41442</v>
      </c>
      <c r="B41">
        <v>1630.64</v>
      </c>
      <c r="C41">
        <v>1646.5</v>
      </c>
      <c r="D41">
        <v>1630.34</v>
      </c>
      <c r="E41">
        <v>1639.04</v>
      </c>
      <c r="F41">
        <v>3137080000</v>
      </c>
      <c r="G41">
        <v>1639.04</v>
      </c>
      <c r="H41">
        <f t="shared" si="0"/>
        <v>1661.91</v>
      </c>
      <c r="I41">
        <f t="shared" si="1"/>
        <v>1598.23</v>
      </c>
      <c r="J41">
        <f t="shared" si="2"/>
        <v>64.086055276381757</v>
      </c>
      <c r="K41">
        <f t="shared" si="3"/>
        <v>50.593395103533702</v>
      </c>
    </row>
    <row r="42" spans="1:11">
      <c r="A42" s="12">
        <v>41443</v>
      </c>
      <c r="B42">
        <v>1639.77</v>
      </c>
      <c r="C42">
        <v>1654.19</v>
      </c>
      <c r="D42">
        <v>1639.77</v>
      </c>
      <c r="E42">
        <v>1651.81</v>
      </c>
      <c r="F42">
        <v>3120980000</v>
      </c>
      <c r="G42">
        <v>1651.81</v>
      </c>
      <c r="H42">
        <f t="shared" si="0"/>
        <v>1661.91</v>
      </c>
      <c r="I42">
        <f t="shared" si="1"/>
        <v>1598.23</v>
      </c>
      <c r="J42">
        <f t="shared" si="2"/>
        <v>84.139447236180715</v>
      </c>
      <c r="K42">
        <f t="shared" si="3"/>
        <v>61.911791177083863</v>
      </c>
    </row>
    <row r="43" spans="1:11">
      <c r="A43" s="12">
        <v>41444</v>
      </c>
      <c r="B43">
        <v>1651.83</v>
      </c>
      <c r="C43">
        <v>1652.45</v>
      </c>
      <c r="D43">
        <v>1628.91</v>
      </c>
      <c r="E43">
        <v>1628.93</v>
      </c>
      <c r="F43">
        <v>3545060000</v>
      </c>
      <c r="G43">
        <v>1628.93</v>
      </c>
      <c r="H43">
        <f t="shared" si="0"/>
        <v>1658.99</v>
      </c>
      <c r="I43">
        <f t="shared" si="1"/>
        <v>1598.23</v>
      </c>
      <c r="J43">
        <f t="shared" si="2"/>
        <v>50.526662277814438</v>
      </c>
      <c r="K43">
        <f t="shared" si="3"/>
        <v>66.250721596792303</v>
      </c>
    </row>
    <row r="44" spans="1:11">
      <c r="A44" s="12">
        <v>41445</v>
      </c>
      <c r="B44">
        <v>1624.62</v>
      </c>
      <c r="C44">
        <v>1624.62</v>
      </c>
      <c r="D44">
        <v>1584.32</v>
      </c>
      <c r="E44">
        <v>1588.19</v>
      </c>
      <c r="F44">
        <v>4858850000</v>
      </c>
      <c r="G44">
        <v>1588.19</v>
      </c>
      <c r="H44">
        <f t="shared" si="0"/>
        <v>1654.19</v>
      </c>
      <c r="I44">
        <f t="shared" si="1"/>
        <v>1584.32</v>
      </c>
      <c r="J44">
        <f t="shared" si="2"/>
        <v>5.5388578789181508</v>
      </c>
      <c r="K44">
        <f t="shared" si="3"/>
        <v>46.734989130971094</v>
      </c>
    </row>
    <row r="45" spans="1:11">
      <c r="A45" s="12">
        <v>41446</v>
      </c>
      <c r="B45">
        <v>1588.62</v>
      </c>
      <c r="C45">
        <v>1599.19</v>
      </c>
      <c r="D45">
        <v>1577.7</v>
      </c>
      <c r="E45">
        <v>1592.43</v>
      </c>
      <c r="F45">
        <v>5797280000</v>
      </c>
      <c r="G45">
        <v>1592.43</v>
      </c>
      <c r="H45">
        <f t="shared" si="0"/>
        <v>1654.19</v>
      </c>
      <c r="I45">
        <f t="shared" si="1"/>
        <v>1577.7</v>
      </c>
      <c r="J45">
        <f t="shared" si="2"/>
        <v>19.257419270492896</v>
      </c>
      <c r="K45">
        <f t="shared" si="3"/>
        <v>25.107646475741831</v>
      </c>
    </row>
    <row r="46" spans="1:11">
      <c r="A46" s="12">
        <v>41449</v>
      </c>
      <c r="B46">
        <v>1588.77</v>
      </c>
      <c r="C46">
        <v>1588.77</v>
      </c>
      <c r="D46">
        <v>1560.33</v>
      </c>
      <c r="E46">
        <v>1573.09</v>
      </c>
      <c r="F46">
        <v>4733660000</v>
      </c>
      <c r="G46">
        <v>1573.09</v>
      </c>
      <c r="H46">
        <f t="shared" si="0"/>
        <v>1654.19</v>
      </c>
      <c r="I46">
        <f t="shared" si="1"/>
        <v>1560.33</v>
      </c>
      <c r="J46">
        <f t="shared" si="2"/>
        <v>13.594715533773677</v>
      </c>
      <c r="K46">
        <f t="shared" si="3"/>
        <v>12.796997561061573</v>
      </c>
    </row>
    <row r="47" spans="1:11">
      <c r="A47" s="12">
        <v>41450</v>
      </c>
      <c r="B47">
        <v>1577.52</v>
      </c>
      <c r="C47">
        <v>1593.79</v>
      </c>
      <c r="D47">
        <v>1577.09</v>
      </c>
      <c r="E47">
        <v>1588.03</v>
      </c>
      <c r="F47">
        <v>3761170000</v>
      </c>
      <c r="G47">
        <v>1588.03</v>
      </c>
      <c r="H47">
        <f t="shared" ref="H47:H78" si="4">MAX(C34:C47)</f>
        <v>1654.19</v>
      </c>
      <c r="I47">
        <f t="shared" ref="I47:I78" si="5">MIN(D34:D47)</f>
        <v>1560.33</v>
      </c>
      <c r="J47">
        <f t="shared" ref="J47:J78" si="6">(E47 - I47) / (H47 - I47) * 100</f>
        <v>29.512039207330076</v>
      </c>
      <c r="K47">
        <f t="shared" si="3"/>
        <v>20.788058003865547</v>
      </c>
    </row>
    <row r="48" spans="1:11">
      <c r="A48" s="12">
        <v>41451</v>
      </c>
      <c r="B48">
        <v>1592.27</v>
      </c>
      <c r="C48">
        <v>1606.83</v>
      </c>
      <c r="D48">
        <v>1592.27</v>
      </c>
      <c r="E48">
        <v>1603.26</v>
      </c>
      <c r="F48">
        <v>3558340000</v>
      </c>
      <c r="G48">
        <v>1603.26</v>
      </c>
      <c r="H48">
        <f t="shared" si="4"/>
        <v>1654.19</v>
      </c>
      <c r="I48">
        <f t="shared" si="5"/>
        <v>1560.33</v>
      </c>
      <c r="J48">
        <f t="shared" si="6"/>
        <v>45.738333688472196</v>
      </c>
      <c r="K48">
        <f t="shared" si="3"/>
        <v>29.615029476525319</v>
      </c>
    </row>
    <row r="49" spans="1:11">
      <c r="A49" s="12">
        <v>41452</v>
      </c>
      <c r="B49">
        <v>1606.44</v>
      </c>
      <c r="C49">
        <v>1620.07</v>
      </c>
      <c r="D49">
        <v>1606.44</v>
      </c>
      <c r="E49">
        <v>1613.2</v>
      </c>
      <c r="F49">
        <v>3364540000</v>
      </c>
      <c r="G49">
        <v>1613.2</v>
      </c>
      <c r="H49">
        <f t="shared" si="4"/>
        <v>1654.19</v>
      </c>
      <c r="I49">
        <f t="shared" si="5"/>
        <v>1560.33</v>
      </c>
      <c r="J49">
        <f t="shared" si="6"/>
        <v>56.32857447261884</v>
      </c>
      <c r="K49">
        <f t="shared" ref="K49:K80" si="7">AVERAGE(J47:J49)</f>
        <v>43.859649122807035</v>
      </c>
    </row>
    <row r="50" spans="1:11">
      <c r="A50" s="12">
        <v>41453</v>
      </c>
      <c r="B50">
        <v>1611.12</v>
      </c>
      <c r="C50">
        <v>1615.94</v>
      </c>
      <c r="D50">
        <v>1601.06</v>
      </c>
      <c r="E50">
        <v>1606.28</v>
      </c>
      <c r="F50">
        <v>4977190000</v>
      </c>
      <c r="G50">
        <v>1606.28</v>
      </c>
      <c r="H50">
        <f t="shared" si="4"/>
        <v>1654.19</v>
      </c>
      <c r="I50">
        <f t="shared" si="5"/>
        <v>1560.33</v>
      </c>
      <c r="J50">
        <f t="shared" si="6"/>
        <v>48.955891753675665</v>
      </c>
      <c r="K50">
        <f t="shared" si="7"/>
        <v>50.340933304922231</v>
      </c>
    </row>
    <row r="51" spans="1:11">
      <c r="A51" s="12">
        <v>41456</v>
      </c>
      <c r="B51">
        <v>1609.78</v>
      </c>
      <c r="C51">
        <v>1626.61</v>
      </c>
      <c r="D51">
        <v>1609.78</v>
      </c>
      <c r="E51">
        <v>1614.96</v>
      </c>
      <c r="F51">
        <v>3104690000</v>
      </c>
      <c r="G51">
        <v>1614.96</v>
      </c>
      <c r="H51">
        <f t="shared" si="4"/>
        <v>1654.19</v>
      </c>
      <c r="I51">
        <f t="shared" si="5"/>
        <v>1560.33</v>
      </c>
      <c r="J51">
        <f t="shared" si="6"/>
        <v>58.203707649691061</v>
      </c>
      <c r="K51">
        <f t="shared" si="7"/>
        <v>54.496057958661858</v>
      </c>
    </row>
    <row r="52" spans="1:11">
      <c r="A52" s="12">
        <v>41457</v>
      </c>
      <c r="B52">
        <v>1614.29</v>
      </c>
      <c r="C52">
        <v>1624.26</v>
      </c>
      <c r="D52">
        <v>1606.77</v>
      </c>
      <c r="E52">
        <v>1614.08</v>
      </c>
      <c r="F52">
        <v>3317130000</v>
      </c>
      <c r="G52">
        <v>1614.08</v>
      </c>
      <c r="H52">
        <f t="shared" si="4"/>
        <v>1654.19</v>
      </c>
      <c r="I52">
        <f t="shared" si="5"/>
        <v>1560.33</v>
      </c>
      <c r="J52">
        <f t="shared" si="6"/>
        <v>57.266141061154826</v>
      </c>
      <c r="K52">
        <f t="shared" si="7"/>
        <v>54.808580154840513</v>
      </c>
    </row>
    <row r="53" spans="1:11">
      <c r="A53" s="12">
        <v>41458</v>
      </c>
      <c r="B53">
        <v>1611.48</v>
      </c>
      <c r="C53">
        <v>1618.97</v>
      </c>
      <c r="D53">
        <v>1604.57</v>
      </c>
      <c r="E53">
        <v>1615.41</v>
      </c>
      <c r="F53">
        <v>1966050000</v>
      </c>
      <c r="G53">
        <v>1615.41</v>
      </c>
      <c r="H53">
        <f t="shared" si="4"/>
        <v>1654.19</v>
      </c>
      <c r="I53">
        <f t="shared" si="5"/>
        <v>1560.33</v>
      </c>
      <c r="J53">
        <f t="shared" si="6"/>
        <v>58.683145109737985</v>
      </c>
      <c r="K53">
        <f t="shared" si="7"/>
        <v>58.050997940194627</v>
      </c>
    </row>
    <row r="54" spans="1:11">
      <c r="A54" s="12">
        <v>41460</v>
      </c>
      <c r="B54">
        <v>1618.65</v>
      </c>
      <c r="C54">
        <v>1632.07</v>
      </c>
      <c r="D54">
        <v>1614.71</v>
      </c>
      <c r="E54">
        <v>1631.89</v>
      </c>
      <c r="F54">
        <v>2634140000</v>
      </c>
      <c r="G54">
        <v>1631.89</v>
      </c>
      <c r="H54">
        <f t="shared" si="4"/>
        <v>1654.19</v>
      </c>
      <c r="I54">
        <f t="shared" si="5"/>
        <v>1560.33</v>
      </c>
      <c r="J54">
        <f t="shared" si="6"/>
        <v>76.241210313232557</v>
      </c>
      <c r="K54">
        <f t="shared" si="7"/>
        <v>64.063498828041787</v>
      </c>
    </row>
    <row r="55" spans="1:11">
      <c r="A55" s="12">
        <v>41463</v>
      </c>
      <c r="B55">
        <v>1634.2</v>
      </c>
      <c r="C55">
        <v>1644.68</v>
      </c>
      <c r="D55">
        <v>1634.2</v>
      </c>
      <c r="E55">
        <v>1640.46</v>
      </c>
      <c r="F55">
        <v>3514590000</v>
      </c>
      <c r="G55">
        <v>1640.46</v>
      </c>
      <c r="H55">
        <f t="shared" si="4"/>
        <v>1654.19</v>
      </c>
      <c r="I55">
        <f t="shared" si="5"/>
        <v>1560.33</v>
      </c>
      <c r="J55">
        <f t="shared" si="6"/>
        <v>85.371830385680809</v>
      </c>
      <c r="K55">
        <f t="shared" si="7"/>
        <v>73.43206193621711</v>
      </c>
    </row>
    <row r="56" spans="1:11">
      <c r="A56" s="12">
        <v>41464</v>
      </c>
      <c r="B56">
        <v>1642.89</v>
      </c>
      <c r="C56">
        <v>1654.18</v>
      </c>
      <c r="D56">
        <v>1642.89</v>
      </c>
      <c r="E56">
        <v>1652.32</v>
      </c>
      <c r="F56">
        <v>3155360000</v>
      </c>
      <c r="G56">
        <v>1652.32</v>
      </c>
      <c r="H56">
        <f t="shared" si="4"/>
        <v>1654.18</v>
      </c>
      <c r="I56">
        <f t="shared" si="5"/>
        <v>1560.33</v>
      </c>
      <c r="J56">
        <f t="shared" si="6"/>
        <v>98.018114011720698</v>
      </c>
      <c r="K56">
        <f t="shared" si="7"/>
        <v>86.543718236878021</v>
      </c>
    </row>
    <row r="57" spans="1:11">
      <c r="A57" s="12">
        <v>41465</v>
      </c>
      <c r="B57">
        <v>1651.56</v>
      </c>
      <c r="C57">
        <v>1657.92</v>
      </c>
      <c r="D57">
        <v>1647.66</v>
      </c>
      <c r="E57">
        <v>1652.62</v>
      </c>
      <c r="F57">
        <v>3011010000</v>
      </c>
      <c r="G57">
        <v>1652.62</v>
      </c>
      <c r="H57">
        <f t="shared" si="4"/>
        <v>1657.92</v>
      </c>
      <c r="I57">
        <f t="shared" si="5"/>
        <v>1560.33</v>
      </c>
      <c r="J57">
        <f t="shared" si="6"/>
        <v>94.569115688082618</v>
      </c>
      <c r="K57">
        <f t="shared" si="7"/>
        <v>92.653020028494709</v>
      </c>
    </row>
    <row r="58" spans="1:11">
      <c r="A58" s="12">
        <v>41466</v>
      </c>
      <c r="B58">
        <v>1657.41</v>
      </c>
      <c r="C58">
        <v>1676.63</v>
      </c>
      <c r="D58">
        <v>1657.41</v>
      </c>
      <c r="E58">
        <v>1675.02</v>
      </c>
      <c r="F58">
        <v>3446340000</v>
      </c>
      <c r="G58">
        <v>1675.02</v>
      </c>
      <c r="H58">
        <f t="shared" si="4"/>
        <v>1676.63</v>
      </c>
      <c r="I58">
        <f t="shared" si="5"/>
        <v>1560.33</v>
      </c>
      <c r="J58">
        <f t="shared" si="6"/>
        <v>98.615649183146928</v>
      </c>
      <c r="K58">
        <f t="shared" si="7"/>
        <v>97.067626294316753</v>
      </c>
    </row>
    <row r="59" spans="1:11">
      <c r="A59" s="12">
        <v>41467</v>
      </c>
      <c r="B59">
        <v>1675.26</v>
      </c>
      <c r="C59">
        <v>1680.19</v>
      </c>
      <c r="D59">
        <v>1672.33</v>
      </c>
      <c r="E59">
        <v>1680.19</v>
      </c>
      <c r="F59">
        <v>3039070000</v>
      </c>
      <c r="G59">
        <v>1680.19</v>
      </c>
      <c r="H59">
        <f t="shared" si="4"/>
        <v>1680.19</v>
      </c>
      <c r="I59">
        <f t="shared" si="5"/>
        <v>1560.33</v>
      </c>
      <c r="J59">
        <f t="shared" si="6"/>
        <v>100</v>
      </c>
      <c r="K59">
        <f t="shared" si="7"/>
        <v>97.728254957076516</v>
      </c>
    </row>
    <row r="60" spans="1:11">
      <c r="A60" s="12">
        <v>41470</v>
      </c>
      <c r="B60">
        <v>1679.59</v>
      </c>
      <c r="C60">
        <v>1684.51</v>
      </c>
      <c r="D60">
        <v>1677.89</v>
      </c>
      <c r="E60">
        <v>1682.5</v>
      </c>
      <c r="F60">
        <v>2623200000</v>
      </c>
      <c r="G60">
        <v>1682.5</v>
      </c>
      <c r="H60">
        <f t="shared" si="4"/>
        <v>1684.51</v>
      </c>
      <c r="I60">
        <f t="shared" si="5"/>
        <v>1577.09</v>
      </c>
      <c r="J60">
        <f t="shared" si="6"/>
        <v>98.12884006702663</v>
      </c>
      <c r="K60">
        <f t="shared" si="7"/>
        <v>98.914829750057848</v>
      </c>
    </row>
    <row r="61" spans="1:11">
      <c r="A61" s="12">
        <v>41471</v>
      </c>
      <c r="B61">
        <v>1682.7</v>
      </c>
      <c r="C61">
        <v>1683.73</v>
      </c>
      <c r="D61">
        <v>1671.84</v>
      </c>
      <c r="E61">
        <v>1676.26</v>
      </c>
      <c r="F61">
        <v>3081710000</v>
      </c>
      <c r="G61">
        <v>1676.26</v>
      </c>
      <c r="H61">
        <f t="shared" si="4"/>
        <v>1684.51</v>
      </c>
      <c r="I61">
        <f t="shared" si="5"/>
        <v>1592.27</v>
      </c>
      <c r="J61">
        <f t="shared" si="6"/>
        <v>91.055941023417176</v>
      </c>
      <c r="K61">
        <f t="shared" si="7"/>
        <v>96.39492703014794</v>
      </c>
    </row>
    <row r="62" spans="1:11">
      <c r="A62" s="12">
        <v>41472</v>
      </c>
      <c r="B62">
        <v>1677.91</v>
      </c>
      <c r="C62">
        <v>1684.75</v>
      </c>
      <c r="D62">
        <v>1677.91</v>
      </c>
      <c r="E62">
        <v>1680.91</v>
      </c>
      <c r="F62">
        <v>3153440000</v>
      </c>
      <c r="G62">
        <v>1680.91</v>
      </c>
      <c r="H62">
        <f t="shared" si="4"/>
        <v>1684.75</v>
      </c>
      <c r="I62">
        <f t="shared" si="5"/>
        <v>1601.06</v>
      </c>
      <c r="J62">
        <f t="shared" si="6"/>
        <v>95.411638188553098</v>
      </c>
      <c r="K62">
        <f t="shared" si="7"/>
        <v>94.865473092998968</v>
      </c>
    </row>
    <row r="63" spans="1:11">
      <c r="A63" s="12">
        <v>41473</v>
      </c>
      <c r="B63">
        <v>1681.05</v>
      </c>
      <c r="C63">
        <v>1693.12</v>
      </c>
      <c r="D63">
        <v>1681.05</v>
      </c>
      <c r="E63">
        <v>1689.37</v>
      </c>
      <c r="F63">
        <v>3452370000</v>
      </c>
      <c r="G63">
        <v>1689.37</v>
      </c>
      <c r="H63">
        <f t="shared" si="4"/>
        <v>1693.12</v>
      </c>
      <c r="I63">
        <f t="shared" si="5"/>
        <v>1601.06</v>
      </c>
      <c r="J63">
        <f t="shared" si="6"/>
        <v>95.926569628503145</v>
      </c>
      <c r="K63">
        <f t="shared" si="7"/>
        <v>94.131382946824473</v>
      </c>
    </row>
    <row r="64" spans="1:11">
      <c r="A64" s="12">
        <v>41474</v>
      </c>
      <c r="B64">
        <v>1686.15</v>
      </c>
      <c r="C64">
        <v>1692.09</v>
      </c>
      <c r="D64">
        <v>1684.08</v>
      </c>
      <c r="E64">
        <v>1692.09</v>
      </c>
      <c r="F64">
        <v>3302580000</v>
      </c>
      <c r="G64">
        <v>1692.09</v>
      </c>
      <c r="H64">
        <f t="shared" si="4"/>
        <v>1693.12</v>
      </c>
      <c r="I64">
        <f t="shared" si="5"/>
        <v>1604.57</v>
      </c>
      <c r="J64">
        <f t="shared" si="6"/>
        <v>98.836815358554517</v>
      </c>
      <c r="K64">
        <f t="shared" si="7"/>
        <v>96.725007725203582</v>
      </c>
    </row>
    <row r="65" spans="1:11">
      <c r="A65" s="12">
        <v>41477</v>
      </c>
      <c r="B65">
        <v>1694.41</v>
      </c>
      <c r="C65">
        <v>1697.61</v>
      </c>
      <c r="D65">
        <v>1690.67</v>
      </c>
      <c r="E65">
        <v>1695.53</v>
      </c>
      <c r="F65">
        <v>2779130000</v>
      </c>
      <c r="G65">
        <v>1695.53</v>
      </c>
      <c r="H65">
        <f t="shared" si="4"/>
        <v>1697.61</v>
      </c>
      <c r="I65">
        <f t="shared" si="5"/>
        <v>1604.57</v>
      </c>
      <c r="J65">
        <f t="shared" si="6"/>
        <v>97.76440240756672</v>
      </c>
      <c r="K65">
        <f t="shared" si="7"/>
        <v>97.509262464874794</v>
      </c>
    </row>
    <row r="66" spans="1:11">
      <c r="A66" s="12">
        <v>41478</v>
      </c>
      <c r="B66">
        <v>1696.63</v>
      </c>
      <c r="C66">
        <v>1698.78</v>
      </c>
      <c r="D66">
        <v>1691.13</v>
      </c>
      <c r="E66">
        <v>1692.39</v>
      </c>
      <c r="F66">
        <v>3096180000</v>
      </c>
      <c r="G66">
        <v>1692.39</v>
      </c>
      <c r="H66">
        <f t="shared" si="4"/>
        <v>1698.78</v>
      </c>
      <c r="I66">
        <f t="shared" si="5"/>
        <v>1604.57</v>
      </c>
      <c r="J66">
        <f t="shared" si="6"/>
        <v>93.217280543466856</v>
      </c>
      <c r="K66">
        <f t="shared" si="7"/>
        <v>96.606166103196031</v>
      </c>
    </row>
    <row r="67" spans="1:11">
      <c r="A67" s="12">
        <v>41479</v>
      </c>
      <c r="B67">
        <v>1696.06</v>
      </c>
      <c r="C67">
        <v>1698.38</v>
      </c>
      <c r="D67">
        <v>1682.57</v>
      </c>
      <c r="E67">
        <v>1685.94</v>
      </c>
      <c r="F67">
        <v>3336120000</v>
      </c>
      <c r="G67">
        <v>1685.94</v>
      </c>
      <c r="H67">
        <f t="shared" si="4"/>
        <v>1698.78</v>
      </c>
      <c r="I67">
        <f t="shared" si="5"/>
        <v>1614.71</v>
      </c>
      <c r="J67">
        <f t="shared" si="6"/>
        <v>84.727013203283065</v>
      </c>
      <c r="K67">
        <f t="shared" si="7"/>
        <v>91.902898718105533</v>
      </c>
    </row>
    <row r="68" spans="1:11">
      <c r="A68" s="12">
        <v>41480</v>
      </c>
      <c r="B68">
        <v>1685.21</v>
      </c>
      <c r="C68">
        <v>1690.94</v>
      </c>
      <c r="D68">
        <v>1680.07</v>
      </c>
      <c r="E68">
        <v>1690.25</v>
      </c>
      <c r="F68">
        <v>3322500000</v>
      </c>
      <c r="G68">
        <v>1690.25</v>
      </c>
      <c r="H68">
        <f t="shared" si="4"/>
        <v>1698.78</v>
      </c>
      <c r="I68">
        <f t="shared" si="5"/>
        <v>1634.2</v>
      </c>
      <c r="J68">
        <f t="shared" si="6"/>
        <v>86.791576339423997</v>
      </c>
      <c r="K68">
        <f t="shared" si="7"/>
        <v>88.245290028724639</v>
      </c>
    </row>
    <row r="69" spans="1:11">
      <c r="A69" s="12">
        <v>41481</v>
      </c>
      <c r="B69">
        <v>1687.31</v>
      </c>
      <c r="C69">
        <v>1691.85</v>
      </c>
      <c r="D69">
        <v>1676.03</v>
      </c>
      <c r="E69">
        <v>1691.65</v>
      </c>
      <c r="F69">
        <v>2762770000</v>
      </c>
      <c r="G69">
        <v>1691.65</v>
      </c>
      <c r="H69">
        <f t="shared" si="4"/>
        <v>1698.78</v>
      </c>
      <c r="I69">
        <f t="shared" si="5"/>
        <v>1642.89</v>
      </c>
      <c r="J69">
        <f t="shared" si="6"/>
        <v>87.242798353909649</v>
      </c>
      <c r="K69">
        <f t="shared" si="7"/>
        <v>86.253795965538913</v>
      </c>
    </row>
    <row r="70" spans="1:11">
      <c r="A70" s="12">
        <v>41484</v>
      </c>
      <c r="B70">
        <v>1690.32</v>
      </c>
      <c r="C70">
        <v>1690.92</v>
      </c>
      <c r="D70">
        <v>1681.86</v>
      </c>
      <c r="E70">
        <v>1685.33</v>
      </c>
      <c r="F70">
        <v>2840520000</v>
      </c>
      <c r="G70">
        <v>1685.33</v>
      </c>
      <c r="H70">
        <f t="shared" si="4"/>
        <v>1698.78</v>
      </c>
      <c r="I70">
        <f t="shared" si="5"/>
        <v>1647.66</v>
      </c>
      <c r="J70">
        <f t="shared" si="6"/>
        <v>73.689358372456809</v>
      </c>
      <c r="K70">
        <f t="shared" si="7"/>
        <v>82.574577688596818</v>
      </c>
    </row>
    <row r="71" spans="1:11">
      <c r="A71" s="12">
        <v>41485</v>
      </c>
      <c r="B71">
        <v>1687.92</v>
      </c>
      <c r="C71">
        <v>1693.19</v>
      </c>
      <c r="D71">
        <v>1682.42</v>
      </c>
      <c r="E71">
        <v>1685.96</v>
      </c>
      <c r="F71">
        <v>3320530000</v>
      </c>
      <c r="G71">
        <v>1685.96</v>
      </c>
      <c r="H71">
        <f t="shared" si="4"/>
        <v>1698.78</v>
      </c>
      <c r="I71">
        <f t="shared" si="5"/>
        <v>1657.41</v>
      </c>
      <c r="J71">
        <f t="shared" si="6"/>
        <v>69.011360889533549</v>
      </c>
      <c r="K71">
        <f t="shared" si="7"/>
        <v>76.647839205300002</v>
      </c>
    </row>
    <row r="72" spans="1:11">
      <c r="A72" s="12">
        <v>41486</v>
      </c>
      <c r="B72">
        <v>1687.76</v>
      </c>
      <c r="C72">
        <v>1698.43</v>
      </c>
      <c r="D72">
        <v>1684.94</v>
      </c>
      <c r="E72">
        <v>1685.73</v>
      </c>
      <c r="F72">
        <v>3847390000</v>
      </c>
      <c r="G72">
        <v>1685.73</v>
      </c>
      <c r="H72">
        <f t="shared" si="4"/>
        <v>1698.78</v>
      </c>
      <c r="I72">
        <f t="shared" si="5"/>
        <v>1671.84</v>
      </c>
      <c r="J72">
        <f t="shared" si="6"/>
        <v>51.559020044543701</v>
      </c>
      <c r="K72">
        <f t="shared" si="7"/>
        <v>64.753246435511343</v>
      </c>
    </row>
    <row r="73" spans="1:11">
      <c r="A73" s="12">
        <v>41487</v>
      </c>
      <c r="B73">
        <v>1689.42</v>
      </c>
      <c r="C73">
        <v>1707.85</v>
      </c>
      <c r="D73">
        <v>1689.42</v>
      </c>
      <c r="E73">
        <v>1706.87</v>
      </c>
      <c r="F73">
        <v>3775170000</v>
      </c>
      <c r="G73">
        <v>1706.87</v>
      </c>
      <c r="H73">
        <f t="shared" si="4"/>
        <v>1707.85</v>
      </c>
      <c r="I73">
        <f t="shared" si="5"/>
        <v>1671.84</v>
      </c>
      <c r="J73">
        <f t="shared" si="6"/>
        <v>97.278533740627552</v>
      </c>
      <c r="K73">
        <f t="shared" si="7"/>
        <v>72.616304891568277</v>
      </c>
    </row>
    <row r="74" spans="1:11">
      <c r="A74" s="12">
        <v>41488</v>
      </c>
      <c r="B74">
        <v>1706.1</v>
      </c>
      <c r="C74">
        <v>1709.67</v>
      </c>
      <c r="D74">
        <v>1700.68</v>
      </c>
      <c r="E74">
        <v>1709.67</v>
      </c>
      <c r="F74">
        <v>3136630000</v>
      </c>
      <c r="G74">
        <v>1709.67</v>
      </c>
      <c r="H74">
        <f t="shared" si="4"/>
        <v>1709.67</v>
      </c>
      <c r="I74">
        <f t="shared" si="5"/>
        <v>1671.84</v>
      </c>
      <c r="J74">
        <f t="shared" si="6"/>
        <v>100</v>
      </c>
      <c r="K74">
        <f t="shared" si="7"/>
        <v>82.945851261723746</v>
      </c>
    </row>
    <row r="75" spans="1:11">
      <c r="A75" s="12">
        <v>41491</v>
      </c>
      <c r="B75">
        <v>1708.01</v>
      </c>
      <c r="C75">
        <v>1709.24</v>
      </c>
      <c r="D75">
        <v>1703.55</v>
      </c>
      <c r="E75">
        <v>1707.14</v>
      </c>
      <c r="F75">
        <v>2529300000</v>
      </c>
      <c r="G75">
        <v>1707.14</v>
      </c>
      <c r="H75">
        <f t="shared" si="4"/>
        <v>1709.67</v>
      </c>
      <c r="I75">
        <f t="shared" si="5"/>
        <v>1676.03</v>
      </c>
      <c r="J75">
        <f t="shared" si="6"/>
        <v>92.479191438763479</v>
      </c>
      <c r="K75">
        <f t="shared" si="7"/>
        <v>96.585908393130353</v>
      </c>
    </row>
    <row r="76" spans="1:11">
      <c r="A76" s="12">
        <v>41492</v>
      </c>
      <c r="B76">
        <v>1705.79</v>
      </c>
      <c r="C76">
        <v>1705.79</v>
      </c>
      <c r="D76">
        <v>1693.29</v>
      </c>
      <c r="E76">
        <v>1697.37</v>
      </c>
      <c r="F76">
        <v>3141210000</v>
      </c>
      <c r="G76">
        <v>1697.37</v>
      </c>
      <c r="H76">
        <f t="shared" si="4"/>
        <v>1709.67</v>
      </c>
      <c r="I76">
        <f t="shared" si="5"/>
        <v>1676.03</v>
      </c>
      <c r="J76">
        <f t="shared" si="6"/>
        <v>63.436385255647608</v>
      </c>
      <c r="K76">
        <f t="shared" si="7"/>
        <v>85.305192231470357</v>
      </c>
    </row>
    <row r="77" spans="1:11">
      <c r="A77" s="12">
        <v>41493</v>
      </c>
      <c r="B77">
        <v>1695.3</v>
      </c>
      <c r="C77">
        <v>1695.3</v>
      </c>
      <c r="D77">
        <v>1684.91</v>
      </c>
      <c r="E77">
        <v>1690.91</v>
      </c>
      <c r="F77">
        <v>3010230000</v>
      </c>
      <c r="G77">
        <v>1690.91</v>
      </c>
      <c r="H77">
        <f t="shared" si="4"/>
        <v>1709.67</v>
      </c>
      <c r="I77">
        <f t="shared" si="5"/>
        <v>1676.03</v>
      </c>
      <c r="J77">
        <f t="shared" si="6"/>
        <v>44.233055885850369</v>
      </c>
      <c r="K77">
        <f t="shared" si="7"/>
        <v>66.716210860087145</v>
      </c>
    </row>
    <row r="78" spans="1:11">
      <c r="A78" s="12">
        <v>41494</v>
      </c>
      <c r="B78">
        <v>1693.35</v>
      </c>
      <c r="C78">
        <v>1700.18</v>
      </c>
      <c r="D78">
        <v>1688.38</v>
      </c>
      <c r="E78">
        <v>1697.48</v>
      </c>
      <c r="F78">
        <v>3271660000</v>
      </c>
      <c r="G78">
        <v>1697.48</v>
      </c>
      <c r="H78">
        <f t="shared" si="4"/>
        <v>1709.67</v>
      </c>
      <c r="I78">
        <f t="shared" si="5"/>
        <v>1676.03</v>
      </c>
      <c r="J78">
        <f t="shared" si="6"/>
        <v>63.763376932223494</v>
      </c>
      <c r="K78">
        <f t="shared" si="7"/>
        <v>57.144272691240495</v>
      </c>
    </row>
    <row r="79" spans="1:11">
      <c r="A79" s="12">
        <v>41495</v>
      </c>
      <c r="B79">
        <v>1696.1</v>
      </c>
      <c r="C79">
        <v>1699.42</v>
      </c>
      <c r="D79">
        <v>1686.02</v>
      </c>
      <c r="E79">
        <v>1691.42</v>
      </c>
      <c r="F79">
        <v>2957670000</v>
      </c>
      <c r="G79">
        <v>1691.42</v>
      </c>
      <c r="H79">
        <f t="shared" ref="H79:H110" si="8">MAX(C66:C79)</f>
        <v>1709.67</v>
      </c>
      <c r="I79">
        <f t="shared" ref="I79:I110" si="9">MIN(D66:D79)</f>
        <v>1676.03</v>
      </c>
      <c r="J79">
        <f t="shared" ref="J79:J110" si="10">(E79 - I79) / (H79 - I79) * 100</f>
        <v>45.749108204518592</v>
      </c>
      <c r="K79">
        <f t="shared" si="7"/>
        <v>51.248513674197483</v>
      </c>
    </row>
    <row r="80" spans="1:11">
      <c r="A80" s="12">
        <v>41498</v>
      </c>
      <c r="B80">
        <v>1688.37</v>
      </c>
      <c r="C80">
        <v>1691.49</v>
      </c>
      <c r="D80">
        <v>1683.35</v>
      </c>
      <c r="E80">
        <v>1689.47</v>
      </c>
      <c r="F80">
        <v>2789160000</v>
      </c>
      <c r="G80">
        <v>1689.47</v>
      </c>
      <c r="H80">
        <f t="shared" si="8"/>
        <v>1709.67</v>
      </c>
      <c r="I80">
        <f t="shared" si="9"/>
        <v>1676.03</v>
      </c>
      <c r="J80">
        <f t="shared" si="10"/>
        <v>39.952437574316335</v>
      </c>
      <c r="K80">
        <f t="shared" si="7"/>
        <v>49.821640903686138</v>
      </c>
    </row>
    <row r="81" spans="1:11">
      <c r="A81" s="12">
        <v>41499</v>
      </c>
      <c r="B81">
        <v>1690.65</v>
      </c>
      <c r="C81">
        <v>1696.81</v>
      </c>
      <c r="D81">
        <v>1682.62</v>
      </c>
      <c r="E81">
        <v>1694.16</v>
      </c>
      <c r="F81">
        <v>3035560000</v>
      </c>
      <c r="G81">
        <v>1694.16</v>
      </c>
      <c r="H81">
        <f t="shared" si="8"/>
        <v>1709.67</v>
      </c>
      <c r="I81">
        <f t="shared" si="9"/>
        <v>1676.03</v>
      </c>
      <c r="J81">
        <f t="shared" si="10"/>
        <v>53.894173602853911</v>
      </c>
      <c r="K81">
        <f t="shared" ref="K81:K112" si="11">AVERAGE(J79:J81)</f>
        <v>46.531906460562944</v>
      </c>
    </row>
    <row r="82" spans="1:11">
      <c r="A82" s="12">
        <v>41500</v>
      </c>
      <c r="B82">
        <v>1693.88</v>
      </c>
      <c r="C82">
        <v>1695.52</v>
      </c>
      <c r="D82">
        <v>1684.83</v>
      </c>
      <c r="E82">
        <v>1685.39</v>
      </c>
      <c r="F82">
        <v>2871430000</v>
      </c>
      <c r="G82">
        <v>1685.39</v>
      </c>
      <c r="H82">
        <f t="shared" si="8"/>
        <v>1709.67</v>
      </c>
      <c r="I82">
        <f t="shared" si="9"/>
        <v>1676.03</v>
      </c>
      <c r="J82">
        <f t="shared" si="10"/>
        <v>27.824019024970571</v>
      </c>
      <c r="K82">
        <f t="shared" si="11"/>
        <v>40.556876734046938</v>
      </c>
    </row>
    <row r="83" spans="1:11">
      <c r="A83" s="12">
        <v>41501</v>
      </c>
      <c r="B83">
        <v>1679.61</v>
      </c>
      <c r="C83">
        <v>1679.61</v>
      </c>
      <c r="D83">
        <v>1658.59</v>
      </c>
      <c r="E83">
        <v>1661.32</v>
      </c>
      <c r="F83">
        <v>3426690000</v>
      </c>
      <c r="G83">
        <v>1661.32</v>
      </c>
      <c r="H83">
        <f t="shared" si="8"/>
        <v>1709.67</v>
      </c>
      <c r="I83">
        <f t="shared" si="9"/>
        <v>1658.59</v>
      </c>
      <c r="J83">
        <f t="shared" si="10"/>
        <v>5.3445575567737071</v>
      </c>
      <c r="K83">
        <f t="shared" si="11"/>
        <v>29.020916728199396</v>
      </c>
    </row>
    <row r="84" spans="1:11">
      <c r="A84" s="12">
        <v>41502</v>
      </c>
      <c r="B84">
        <v>1661.22</v>
      </c>
      <c r="C84">
        <v>1663.6</v>
      </c>
      <c r="D84">
        <v>1652.61</v>
      </c>
      <c r="E84">
        <v>1655.83</v>
      </c>
      <c r="F84">
        <v>3211450000</v>
      </c>
      <c r="G84">
        <v>1655.83</v>
      </c>
      <c r="H84">
        <f t="shared" si="8"/>
        <v>1709.67</v>
      </c>
      <c r="I84">
        <f t="shared" si="9"/>
        <v>1652.61</v>
      </c>
      <c r="J84">
        <f t="shared" si="10"/>
        <v>5.6431826147914785</v>
      </c>
      <c r="K84">
        <f t="shared" si="11"/>
        <v>12.937253065511918</v>
      </c>
    </row>
    <row r="85" spans="1:11">
      <c r="A85" s="12">
        <v>41505</v>
      </c>
      <c r="B85">
        <v>1655.25</v>
      </c>
      <c r="C85">
        <v>1659.18</v>
      </c>
      <c r="D85">
        <v>1645.84</v>
      </c>
      <c r="E85">
        <v>1646.06</v>
      </c>
      <c r="F85">
        <v>2904530000</v>
      </c>
      <c r="G85">
        <v>1646.06</v>
      </c>
      <c r="H85">
        <f t="shared" si="8"/>
        <v>1709.67</v>
      </c>
      <c r="I85">
        <f t="shared" si="9"/>
        <v>1645.84</v>
      </c>
      <c r="J85">
        <f t="shared" si="10"/>
        <v>0.34466551778164933</v>
      </c>
      <c r="K85">
        <f t="shared" si="11"/>
        <v>3.7774685631156117</v>
      </c>
    </row>
    <row r="86" spans="1:11">
      <c r="A86" s="12">
        <v>41506</v>
      </c>
      <c r="B86">
        <v>1646.81</v>
      </c>
      <c r="C86">
        <v>1658.92</v>
      </c>
      <c r="D86">
        <v>1646.08</v>
      </c>
      <c r="E86">
        <v>1652.35</v>
      </c>
      <c r="F86">
        <v>2994090000</v>
      </c>
      <c r="G86">
        <v>1652.35</v>
      </c>
      <c r="H86">
        <f t="shared" si="8"/>
        <v>1709.67</v>
      </c>
      <c r="I86">
        <f t="shared" si="9"/>
        <v>1645.84</v>
      </c>
      <c r="J86">
        <f t="shared" si="10"/>
        <v>10.198966003446616</v>
      </c>
      <c r="K86">
        <f t="shared" si="11"/>
        <v>5.3956047120065813</v>
      </c>
    </row>
    <row r="87" spans="1:11">
      <c r="A87" s="12">
        <v>41507</v>
      </c>
      <c r="B87">
        <v>1650.66</v>
      </c>
      <c r="C87">
        <v>1656.99</v>
      </c>
      <c r="D87">
        <v>1639.43</v>
      </c>
      <c r="E87">
        <v>1642.8</v>
      </c>
      <c r="F87">
        <v>2932180000</v>
      </c>
      <c r="G87">
        <v>1642.8</v>
      </c>
      <c r="H87">
        <f t="shared" si="8"/>
        <v>1709.67</v>
      </c>
      <c r="I87">
        <f t="shared" si="9"/>
        <v>1639.43</v>
      </c>
      <c r="J87">
        <f t="shared" si="10"/>
        <v>4.7978359908882267</v>
      </c>
      <c r="K87">
        <f t="shared" si="11"/>
        <v>5.1138225040388301</v>
      </c>
    </row>
    <row r="88" spans="1:11">
      <c r="A88" s="12">
        <v>41508</v>
      </c>
      <c r="B88">
        <v>1645.03</v>
      </c>
      <c r="C88">
        <v>1659.55</v>
      </c>
      <c r="D88">
        <v>1645.03</v>
      </c>
      <c r="E88">
        <v>1656.96</v>
      </c>
      <c r="F88">
        <v>2537460000</v>
      </c>
      <c r="G88">
        <v>1656.96</v>
      </c>
      <c r="H88">
        <f t="shared" si="8"/>
        <v>1709.24</v>
      </c>
      <c r="I88">
        <f t="shared" si="9"/>
        <v>1639.43</v>
      </c>
      <c r="J88">
        <f t="shared" si="10"/>
        <v>25.111015613808892</v>
      </c>
      <c r="K88">
        <f t="shared" si="11"/>
        <v>13.369272536047911</v>
      </c>
    </row>
    <row r="89" spans="1:11">
      <c r="A89" s="12">
        <v>41509</v>
      </c>
      <c r="B89">
        <v>1659.92</v>
      </c>
      <c r="C89">
        <v>1664.85</v>
      </c>
      <c r="D89">
        <v>1654.81</v>
      </c>
      <c r="E89">
        <v>1663.5</v>
      </c>
      <c r="F89">
        <v>2582670000</v>
      </c>
      <c r="G89">
        <v>1663.5</v>
      </c>
      <c r="H89">
        <f t="shared" si="8"/>
        <v>1705.79</v>
      </c>
      <c r="I89">
        <f t="shared" si="9"/>
        <v>1639.43</v>
      </c>
      <c r="J89">
        <f t="shared" si="10"/>
        <v>36.271850512356799</v>
      </c>
      <c r="K89">
        <f t="shared" si="11"/>
        <v>22.060234039017974</v>
      </c>
    </row>
    <row r="90" spans="1:11">
      <c r="A90" s="12">
        <v>41512</v>
      </c>
      <c r="B90">
        <v>1664.29</v>
      </c>
      <c r="C90">
        <v>1669.51</v>
      </c>
      <c r="D90">
        <v>1656.02</v>
      </c>
      <c r="E90">
        <v>1656.78</v>
      </c>
      <c r="F90">
        <v>2430670000</v>
      </c>
      <c r="G90">
        <v>1656.78</v>
      </c>
      <c r="H90">
        <f t="shared" si="8"/>
        <v>1700.18</v>
      </c>
      <c r="I90">
        <f t="shared" si="9"/>
        <v>1639.43</v>
      </c>
      <c r="J90">
        <f t="shared" si="10"/>
        <v>28.559670781892855</v>
      </c>
      <c r="K90">
        <f t="shared" si="11"/>
        <v>29.980845636019513</v>
      </c>
    </row>
    <row r="91" spans="1:11">
      <c r="A91" s="12">
        <v>41513</v>
      </c>
      <c r="B91">
        <v>1652.54</v>
      </c>
      <c r="C91">
        <v>1652.54</v>
      </c>
      <c r="D91">
        <v>1629.05</v>
      </c>
      <c r="E91">
        <v>1630.48</v>
      </c>
      <c r="F91">
        <v>3219190000</v>
      </c>
      <c r="G91">
        <v>1630.48</v>
      </c>
      <c r="H91">
        <f t="shared" si="8"/>
        <v>1700.18</v>
      </c>
      <c r="I91">
        <f t="shared" si="9"/>
        <v>1629.05</v>
      </c>
      <c r="J91">
        <f t="shared" si="10"/>
        <v>2.0104034865739653</v>
      </c>
      <c r="K91">
        <f t="shared" si="11"/>
        <v>22.280641593607871</v>
      </c>
    </row>
    <row r="92" spans="1:11">
      <c r="A92" s="12">
        <v>41514</v>
      </c>
      <c r="B92">
        <v>1630.25</v>
      </c>
      <c r="C92">
        <v>1641.18</v>
      </c>
      <c r="D92">
        <v>1627.47</v>
      </c>
      <c r="E92">
        <v>1634.96</v>
      </c>
      <c r="F92">
        <v>2784010000</v>
      </c>
      <c r="G92">
        <v>1634.96</v>
      </c>
      <c r="H92">
        <f t="shared" si="8"/>
        <v>1699.42</v>
      </c>
      <c r="I92">
        <f t="shared" si="9"/>
        <v>1627.47</v>
      </c>
      <c r="J92">
        <f t="shared" si="10"/>
        <v>10.410006949270333</v>
      </c>
      <c r="K92">
        <f t="shared" si="11"/>
        <v>13.66002707257905</v>
      </c>
    </row>
    <row r="93" spans="1:11">
      <c r="A93" s="12">
        <v>41515</v>
      </c>
      <c r="B93">
        <v>1633.5</v>
      </c>
      <c r="C93">
        <v>1646.41</v>
      </c>
      <c r="D93">
        <v>1630.88</v>
      </c>
      <c r="E93">
        <v>1638.17</v>
      </c>
      <c r="F93">
        <v>2527550000</v>
      </c>
      <c r="G93">
        <v>1638.17</v>
      </c>
      <c r="H93">
        <f t="shared" si="8"/>
        <v>1696.81</v>
      </c>
      <c r="I93">
        <f t="shared" si="9"/>
        <v>1627.47</v>
      </c>
      <c r="J93">
        <f t="shared" si="10"/>
        <v>15.431208537640694</v>
      </c>
      <c r="K93">
        <f t="shared" si="11"/>
        <v>9.2838729911616635</v>
      </c>
    </row>
    <row r="94" spans="1:11">
      <c r="A94" s="12">
        <v>41516</v>
      </c>
      <c r="B94">
        <v>1638.89</v>
      </c>
      <c r="C94">
        <v>1640.08</v>
      </c>
      <c r="D94">
        <v>1628.05</v>
      </c>
      <c r="E94">
        <v>1632.97</v>
      </c>
      <c r="F94">
        <v>2734300000</v>
      </c>
      <c r="G94">
        <v>1632.97</v>
      </c>
      <c r="H94">
        <f t="shared" si="8"/>
        <v>1696.81</v>
      </c>
      <c r="I94">
        <f t="shared" si="9"/>
        <v>1627.47</v>
      </c>
      <c r="J94">
        <f t="shared" si="10"/>
        <v>7.9319296221517259</v>
      </c>
      <c r="K94">
        <f t="shared" si="11"/>
        <v>11.25771503635425</v>
      </c>
    </row>
    <row r="95" spans="1:11">
      <c r="A95" s="12">
        <v>41520</v>
      </c>
      <c r="B95">
        <v>1635.95</v>
      </c>
      <c r="C95">
        <v>1651.35</v>
      </c>
      <c r="D95">
        <v>1633.41</v>
      </c>
      <c r="E95">
        <v>1639.77</v>
      </c>
      <c r="F95">
        <v>3731610000</v>
      </c>
      <c r="G95">
        <v>1639.77</v>
      </c>
      <c r="H95">
        <f t="shared" si="8"/>
        <v>1695.52</v>
      </c>
      <c r="I95">
        <f t="shared" si="9"/>
        <v>1627.47</v>
      </c>
      <c r="J95">
        <f t="shared" si="10"/>
        <v>18.074944893460636</v>
      </c>
      <c r="K95">
        <f t="shared" si="11"/>
        <v>13.812694351084351</v>
      </c>
    </row>
    <row r="96" spans="1:11">
      <c r="A96" s="12">
        <v>41521</v>
      </c>
      <c r="B96">
        <v>1640.72</v>
      </c>
      <c r="C96">
        <v>1655.72</v>
      </c>
      <c r="D96">
        <v>1637.41</v>
      </c>
      <c r="E96">
        <v>1653.08</v>
      </c>
      <c r="F96">
        <v>3312150000</v>
      </c>
      <c r="G96">
        <v>1653.08</v>
      </c>
      <c r="H96">
        <f t="shared" si="8"/>
        <v>1679.61</v>
      </c>
      <c r="I96">
        <f t="shared" si="9"/>
        <v>1627.47</v>
      </c>
      <c r="J96">
        <f t="shared" si="10"/>
        <v>49.117759877253476</v>
      </c>
      <c r="K96">
        <f t="shared" si="11"/>
        <v>25.041544797621942</v>
      </c>
    </row>
    <row r="97" spans="1:11">
      <c r="A97" s="12">
        <v>41522</v>
      </c>
      <c r="B97">
        <v>1653.28</v>
      </c>
      <c r="C97">
        <v>1659.17</v>
      </c>
      <c r="D97">
        <v>1653.07</v>
      </c>
      <c r="E97">
        <v>1655.08</v>
      </c>
      <c r="F97">
        <v>2957110000</v>
      </c>
      <c r="G97">
        <v>1655.08</v>
      </c>
      <c r="H97">
        <f t="shared" si="8"/>
        <v>1669.51</v>
      </c>
      <c r="I97">
        <f t="shared" si="9"/>
        <v>1627.47</v>
      </c>
      <c r="J97">
        <f t="shared" si="10"/>
        <v>65.675547098001715</v>
      </c>
      <c r="K97">
        <f t="shared" si="11"/>
        <v>44.289417289571951</v>
      </c>
    </row>
    <row r="98" spans="1:11">
      <c r="A98" s="12">
        <v>41523</v>
      </c>
      <c r="B98">
        <v>1657.44</v>
      </c>
      <c r="C98">
        <v>1664.83</v>
      </c>
      <c r="D98">
        <v>1640.62</v>
      </c>
      <c r="E98">
        <v>1655.17</v>
      </c>
      <c r="F98">
        <v>3123880000</v>
      </c>
      <c r="G98">
        <v>1655.17</v>
      </c>
      <c r="H98">
        <f t="shared" si="8"/>
        <v>1669.51</v>
      </c>
      <c r="I98">
        <f t="shared" si="9"/>
        <v>1627.47</v>
      </c>
      <c r="J98">
        <f t="shared" si="10"/>
        <v>65.889628924833659</v>
      </c>
      <c r="K98">
        <f t="shared" si="11"/>
        <v>60.227645300029621</v>
      </c>
    </row>
    <row r="99" spans="1:11">
      <c r="A99" s="12">
        <v>41526</v>
      </c>
      <c r="B99">
        <v>1656.85</v>
      </c>
      <c r="C99">
        <v>1672.4</v>
      </c>
      <c r="D99">
        <v>1656.85</v>
      </c>
      <c r="E99">
        <v>1671.71</v>
      </c>
      <c r="F99">
        <v>3102780000</v>
      </c>
      <c r="G99">
        <v>1671.71</v>
      </c>
      <c r="H99">
        <f t="shared" si="8"/>
        <v>1672.4</v>
      </c>
      <c r="I99">
        <f t="shared" si="9"/>
        <v>1627.47</v>
      </c>
      <c r="J99">
        <f t="shared" si="10"/>
        <v>98.464277765412746</v>
      </c>
      <c r="K99">
        <f t="shared" si="11"/>
        <v>76.676484596082716</v>
      </c>
    </row>
    <row r="100" spans="1:11">
      <c r="A100" s="12">
        <v>41527</v>
      </c>
      <c r="B100">
        <v>1675.11</v>
      </c>
      <c r="C100">
        <v>1684.09</v>
      </c>
      <c r="D100">
        <v>1675.11</v>
      </c>
      <c r="E100">
        <v>1683.99</v>
      </c>
      <c r="F100">
        <v>3691800000</v>
      </c>
      <c r="G100">
        <v>1683.99</v>
      </c>
      <c r="H100">
        <f t="shared" si="8"/>
        <v>1684.09</v>
      </c>
      <c r="I100">
        <f t="shared" si="9"/>
        <v>1627.47</v>
      </c>
      <c r="J100">
        <f t="shared" si="10"/>
        <v>99.823383963264021</v>
      </c>
      <c r="K100">
        <f t="shared" si="11"/>
        <v>88.059096884503461</v>
      </c>
    </row>
    <row r="101" spans="1:11">
      <c r="A101" s="12">
        <v>41528</v>
      </c>
      <c r="B101">
        <v>1681.04</v>
      </c>
      <c r="C101">
        <v>1689.13</v>
      </c>
      <c r="D101">
        <v>1678.7</v>
      </c>
      <c r="E101">
        <v>1689.13</v>
      </c>
      <c r="F101">
        <v>3135460000</v>
      </c>
      <c r="G101">
        <v>1689.13</v>
      </c>
      <c r="H101">
        <f t="shared" si="8"/>
        <v>1689.13</v>
      </c>
      <c r="I101">
        <f t="shared" si="9"/>
        <v>1627.47</v>
      </c>
      <c r="J101">
        <f t="shared" si="10"/>
        <v>100</v>
      </c>
      <c r="K101">
        <f t="shared" si="11"/>
        <v>99.429220576225589</v>
      </c>
    </row>
    <row r="102" spans="1:11">
      <c r="A102" s="12">
        <v>41529</v>
      </c>
      <c r="B102">
        <v>1689.21</v>
      </c>
      <c r="C102">
        <v>1689.97</v>
      </c>
      <c r="D102">
        <v>1681.96</v>
      </c>
      <c r="E102">
        <v>1683.42</v>
      </c>
      <c r="F102">
        <v>3106290000</v>
      </c>
      <c r="G102">
        <v>1683.42</v>
      </c>
      <c r="H102">
        <f t="shared" si="8"/>
        <v>1689.97</v>
      </c>
      <c r="I102">
        <f t="shared" si="9"/>
        <v>1627.47</v>
      </c>
      <c r="J102">
        <f t="shared" si="10"/>
        <v>89.520000000000081</v>
      </c>
      <c r="K102">
        <f t="shared" si="11"/>
        <v>96.447794654421372</v>
      </c>
    </row>
    <row r="103" spans="1:11">
      <c r="A103" s="12">
        <v>41530</v>
      </c>
      <c r="B103">
        <v>1685.04</v>
      </c>
      <c r="C103">
        <v>1688.73</v>
      </c>
      <c r="D103">
        <v>1682.22</v>
      </c>
      <c r="E103">
        <v>1687.99</v>
      </c>
      <c r="F103">
        <v>2736500000</v>
      </c>
      <c r="G103">
        <v>1687.99</v>
      </c>
      <c r="H103">
        <f t="shared" si="8"/>
        <v>1689.97</v>
      </c>
      <c r="I103">
        <f t="shared" si="9"/>
        <v>1627.47</v>
      </c>
      <c r="J103">
        <f t="shared" si="10"/>
        <v>96.831999999999979</v>
      </c>
      <c r="K103">
        <f t="shared" si="11"/>
        <v>95.450666666666692</v>
      </c>
    </row>
    <row r="104" spans="1:11">
      <c r="A104" s="12">
        <v>41533</v>
      </c>
      <c r="B104">
        <v>1691.7</v>
      </c>
      <c r="C104">
        <v>1704.95</v>
      </c>
      <c r="D104">
        <v>1691.7</v>
      </c>
      <c r="E104">
        <v>1697.6</v>
      </c>
      <c r="F104">
        <v>3079800000</v>
      </c>
      <c r="G104">
        <v>1697.6</v>
      </c>
      <c r="H104">
        <f t="shared" si="8"/>
        <v>1704.95</v>
      </c>
      <c r="I104">
        <f t="shared" si="9"/>
        <v>1627.47</v>
      </c>
      <c r="J104">
        <f t="shared" si="10"/>
        <v>90.513680949922389</v>
      </c>
      <c r="K104">
        <f t="shared" si="11"/>
        <v>92.288560316640812</v>
      </c>
    </row>
    <row r="105" spans="1:11">
      <c r="A105" s="12">
        <v>41534</v>
      </c>
      <c r="B105">
        <v>1697.73</v>
      </c>
      <c r="C105">
        <v>1705.52</v>
      </c>
      <c r="D105">
        <v>1697.73</v>
      </c>
      <c r="E105">
        <v>1704.76</v>
      </c>
      <c r="F105">
        <v>2774240000</v>
      </c>
      <c r="G105">
        <v>1704.76</v>
      </c>
      <c r="H105">
        <f t="shared" si="8"/>
        <v>1705.52</v>
      </c>
      <c r="I105">
        <f t="shared" si="9"/>
        <v>1627.47</v>
      </c>
      <c r="J105">
        <f t="shared" si="10"/>
        <v>99.026265214606042</v>
      </c>
      <c r="K105">
        <f t="shared" si="11"/>
        <v>95.457315388176141</v>
      </c>
    </row>
    <row r="106" spans="1:11">
      <c r="A106" s="12">
        <v>41535</v>
      </c>
      <c r="B106">
        <v>1705.74</v>
      </c>
      <c r="C106">
        <v>1729.44</v>
      </c>
      <c r="D106">
        <v>1700.35</v>
      </c>
      <c r="E106">
        <v>1725.52</v>
      </c>
      <c r="F106">
        <v>3989760000</v>
      </c>
      <c r="G106">
        <v>1725.52</v>
      </c>
      <c r="H106">
        <f t="shared" si="8"/>
        <v>1729.44</v>
      </c>
      <c r="I106">
        <f t="shared" si="9"/>
        <v>1628.05</v>
      </c>
      <c r="J106">
        <f t="shared" si="10"/>
        <v>96.133741000098567</v>
      </c>
      <c r="K106">
        <f t="shared" si="11"/>
        <v>95.224562388208994</v>
      </c>
    </row>
    <row r="107" spans="1:11">
      <c r="A107" s="12">
        <v>41536</v>
      </c>
      <c r="B107">
        <v>1727.34</v>
      </c>
      <c r="C107">
        <v>1729.86</v>
      </c>
      <c r="D107">
        <v>1720.2</v>
      </c>
      <c r="E107">
        <v>1722.34</v>
      </c>
      <c r="F107">
        <v>3740130000</v>
      </c>
      <c r="G107">
        <v>1722.34</v>
      </c>
      <c r="H107">
        <f t="shared" si="8"/>
        <v>1729.86</v>
      </c>
      <c r="I107">
        <f t="shared" si="9"/>
        <v>1628.05</v>
      </c>
      <c r="J107">
        <f t="shared" si="10"/>
        <v>92.613692171692392</v>
      </c>
      <c r="K107">
        <f t="shared" si="11"/>
        <v>95.924566128798986</v>
      </c>
    </row>
    <row r="108" spans="1:11">
      <c r="A108" s="12">
        <v>41537</v>
      </c>
      <c r="B108">
        <v>1722.44</v>
      </c>
      <c r="C108">
        <v>1725.23</v>
      </c>
      <c r="D108">
        <v>1708.89</v>
      </c>
      <c r="E108">
        <v>1709.91</v>
      </c>
      <c r="F108">
        <v>5074030000</v>
      </c>
      <c r="G108">
        <v>1709.91</v>
      </c>
      <c r="H108">
        <f t="shared" si="8"/>
        <v>1729.86</v>
      </c>
      <c r="I108">
        <f t="shared" si="9"/>
        <v>1633.41</v>
      </c>
      <c r="J108">
        <f t="shared" si="10"/>
        <v>79.315707620528926</v>
      </c>
      <c r="K108">
        <f t="shared" si="11"/>
        <v>89.354380264106624</v>
      </c>
    </row>
    <row r="109" spans="1:11">
      <c r="A109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87</vt:i4>
      </vt:variant>
    </vt:vector>
  </HeadingPairs>
  <TitlesOfParts>
    <vt:vector size="89" baseType="lpstr">
      <vt:lpstr>Parameters</vt:lpstr>
      <vt:lpstr>Data</vt:lpstr>
      <vt:lpstr>endDate</vt:lpstr>
      <vt:lpstr>Data!ExternalData_1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Data!ExternalData_28</vt:lpstr>
      <vt:lpstr>Data!ExternalData_29</vt:lpstr>
      <vt:lpstr>Data!ExternalData_3</vt:lpstr>
      <vt:lpstr>Data!ExternalData_30</vt:lpstr>
      <vt:lpstr>Data!ExternalData_31</vt:lpstr>
      <vt:lpstr>Data!ExternalData_32</vt:lpstr>
      <vt:lpstr>Data!ExternalData_33</vt:lpstr>
      <vt:lpstr>Data!ExternalData_34</vt:lpstr>
      <vt:lpstr>Data!ExternalData_35</vt:lpstr>
      <vt:lpstr>Data!ExternalData_36</vt:lpstr>
      <vt:lpstr>Data!ExternalData_37</vt:lpstr>
      <vt:lpstr>Data!ExternalData_38</vt:lpstr>
      <vt:lpstr>Data!ExternalData_39</vt:lpstr>
      <vt:lpstr>Data!ExternalData_4</vt:lpstr>
      <vt:lpstr>Data!ExternalData_40</vt:lpstr>
      <vt:lpstr>Data!ExternalData_41</vt:lpstr>
      <vt:lpstr>Data!ExternalData_42</vt:lpstr>
      <vt:lpstr>Data!ExternalData_43</vt:lpstr>
      <vt:lpstr>Data!ExternalData_44</vt:lpstr>
      <vt:lpstr>Data!ExternalData_45</vt:lpstr>
      <vt:lpstr>Data!ExternalData_46</vt:lpstr>
      <vt:lpstr>Data!ExternalData_47</vt:lpstr>
      <vt:lpstr>Data!ExternalData_48</vt:lpstr>
      <vt:lpstr>Data!ExternalData_49</vt:lpstr>
      <vt:lpstr>Data!ExternalData_50</vt:lpstr>
      <vt:lpstr>Data!ExternalData_51</vt:lpstr>
      <vt:lpstr>Data!ExternalData_52</vt:lpstr>
      <vt:lpstr>Data!ExternalData_53</vt:lpstr>
      <vt:lpstr>Data!ExternalData_54</vt:lpstr>
      <vt:lpstr>Data!ExternalData_55</vt:lpstr>
      <vt:lpstr>Data!ExternalData_56</vt:lpstr>
      <vt:lpstr>Data!ExternalData_57</vt:lpstr>
      <vt:lpstr>Data!ExternalData_58</vt:lpstr>
      <vt:lpstr>Data!ExternalData_59</vt:lpstr>
      <vt:lpstr>Data!ExternalData_6</vt:lpstr>
      <vt:lpstr>Data!ExternalData_61</vt:lpstr>
      <vt:lpstr>Data!ExternalData_62</vt:lpstr>
      <vt:lpstr>Data!ExternalData_63</vt:lpstr>
      <vt:lpstr>Data!ExternalData_64</vt:lpstr>
      <vt:lpstr>Data!ExternalData_65</vt:lpstr>
      <vt:lpstr>Data!ExternalData_66</vt:lpstr>
      <vt:lpstr>Data!ExternalData_67</vt:lpstr>
      <vt:lpstr>Data!ExternalData_68</vt:lpstr>
      <vt:lpstr>Data!ExternalData_69</vt:lpstr>
      <vt:lpstr>Data!ExternalData_70</vt:lpstr>
      <vt:lpstr>Data!ExternalData_71</vt:lpstr>
      <vt:lpstr>Data!ExternalData_72</vt:lpstr>
      <vt:lpstr>Data!ExternalData_73</vt:lpstr>
      <vt:lpstr>Data!ExternalData_74</vt:lpstr>
      <vt:lpstr>Data!ExternalData_75</vt:lpstr>
      <vt:lpstr>Data!ExternalData_76</vt:lpstr>
      <vt:lpstr>Data!ExternalData_77</vt:lpstr>
      <vt:lpstr>Data!ExternalData_78</vt:lpstr>
      <vt:lpstr>Data!ExternalData_79</vt:lpstr>
      <vt:lpstr>Data!ExternalData_8</vt:lpstr>
      <vt:lpstr>Data!ExternalData_80</vt:lpstr>
      <vt:lpstr>Data!ExternalData_81</vt:lpstr>
      <vt:lpstr>Data!ExternalData_82</vt:lpstr>
      <vt:lpstr>Data!ExternalData_83</vt:lpstr>
      <vt:lpstr>Data!ExternalData_84</vt:lpstr>
      <vt:lpstr>Data!ExternalData_85</vt:lpstr>
      <vt:lpstr>Data!ExternalData_86</vt:lpstr>
      <vt:lpstr>lookbackPeriod</vt:lpstr>
      <vt:lpstr>smoothingPeriod</vt:lpstr>
      <vt:lpstr>startDate</vt:lpstr>
      <vt:lpstr>ticker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Samir</cp:lastModifiedBy>
  <dcterms:created xsi:type="dcterms:W3CDTF">2011-05-29T20:49:38Z</dcterms:created>
  <dcterms:modified xsi:type="dcterms:W3CDTF">2014-04-25T23:25:12Z</dcterms:modified>
</cp:coreProperties>
</file>